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клиенты" sheetId="1" r:id="rId5"/>
    <sheet state="visible" name="Дети 10-13" sheetId="2" r:id="rId6"/>
    <sheet state="visible" name="Дети 14-17" sheetId="3" r:id="rId7"/>
    <sheet state="visible" name="Кол-во консульт" sheetId="4" r:id="rId8"/>
    <sheet state="visible" name="Отзыв" sheetId="5" r:id="rId9"/>
    <sheet state="visible" name="Расписание март" sheetId="6" r:id="rId10"/>
    <sheet state="visible" name="Расписание апрель" sheetId="7" r:id="rId11"/>
    <sheet state="visible" name="Анонсы" sheetId="8" r:id="rId12"/>
    <sheet state="visible" name="ВЕБЫ_Время для родителей" sheetId="9" r:id="rId13"/>
    <sheet state="visible" name="Скрипт" sheetId="10" r:id="rId14"/>
  </sheets>
  <definedNames/>
  <calcPr/>
</workbook>
</file>

<file path=xl/sharedStrings.xml><?xml version="1.0" encoding="utf-8"?>
<sst xmlns="http://schemas.openxmlformats.org/spreadsheetml/2006/main" count="1125" uniqueCount="617">
  <si>
    <t>Админ</t>
  </si>
  <si>
    <t>Дата обращения</t>
  </si>
  <si>
    <t>Имя клиента</t>
  </si>
  <si>
    <t>Номер телефона</t>
  </si>
  <si>
    <t>Звонок/ переписка</t>
  </si>
  <si>
    <t>Что спрашивали</t>
  </si>
  <si>
    <t>Откуда узнали о нас?</t>
  </si>
  <si>
    <t>Чем закончилось общение?</t>
  </si>
  <si>
    <t>На какую дату записали клиента</t>
  </si>
  <si>
    <t xml:space="preserve">Отправили скрипт с оценкой качества </t>
  </si>
  <si>
    <t>Проверили обратную связь</t>
  </si>
  <si>
    <t>что дальше</t>
  </si>
  <si>
    <t>Декабрь</t>
  </si>
  <si>
    <t>Максим</t>
  </si>
  <si>
    <t>звонок</t>
  </si>
  <si>
    <t>Сын лежит больнице, персонал грубит и Максим хочет забрать сына из больницы и найти ему платного психотерапевта</t>
  </si>
  <si>
    <t>Сбер Здоровье</t>
  </si>
  <si>
    <t>СВ отказался</t>
  </si>
  <si>
    <t xml:space="preserve">Татьяна </t>
  </si>
  <si>
    <t>сын 18 лет, сдал экзамен, боится общаться с людьми в универе. панические атки есть, по вечерам плачет, сравнивает себя с другими</t>
  </si>
  <si>
    <t>по рекомендациям</t>
  </si>
  <si>
    <t>к СВ записан по просьбе мамы</t>
  </si>
  <si>
    <t>Айгуль</t>
  </si>
  <si>
    <t xml:space="preserve">Подросток 13,тяжелые отношения с мамой </t>
  </si>
  <si>
    <t xml:space="preserve">Авито </t>
  </si>
  <si>
    <t>Запись к Мовчан</t>
  </si>
  <si>
    <t>Январь</t>
  </si>
  <si>
    <t>Нина</t>
  </si>
  <si>
    <t>Помочь найти общий язык с ребенком, дочь 37 лет, постоянные конфликты</t>
  </si>
  <si>
    <t>Рекомендация</t>
  </si>
  <si>
    <t>Запись к Косьяненко</t>
  </si>
  <si>
    <t>Наталья</t>
  </si>
  <si>
    <t>7 985 448 3611</t>
  </si>
  <si>
    <t>Аренда</t>
  </si>
  <si>
    <t>запись</t>
  </si>
  <si>
    <t xml:space="preserve">Иван </t>
  </si>
  <si>
    <t xml:space="preserve">Просто поговорить с психологом </t>
  </si>
  <si>
    <t>Записался к Косьяненко</t>
  </si>
  <si>
    <t>Юлия</t>
  </si>
  <si>
    <t>Ребенок 2,4 кусается,плохое поведение в саду.</t>
  </si>
  <si>
    <t>Интернет,авито.</t>
  </si>
  <si>
    <t>Анна</t>
  </si>
  <si>
    <t>7 926 880 3911</t>
  </si>
  <si>
    <t>Подросток,11.Агрессия,гаджеты.</t>
  </si>
  <si>
    <t>Интернет поиск</t>
  </si>
  <si>
    <t>Константин</t>
  </si>
  <si>
    <t>Подросток 11 лет,нервничает и начинает чесаться</t>
  </si>
  <si>
    <t>Запись к Кучеренко</t>
  </si>
  <si>
    <t>Марина</t>
  </si>
  <si>
    <t>Ребенок 6 лет,боится ходить в туалет</t>
  </si>
  <si>
    <t>Интернет поиск,карты</t>
  </si>
  <si>
    <t>Запись к Полыгаловой</t>
  </si>
  <si>
    <t>Елена</t>
  </si>
  <si>
    <t>ЗАпуталась в жизни,в семейной и профе-ной жизни</t>
  </si>
  <si>
    <t>Наталья выступала в Дмд, сама подошла к Наталье</t>
  </si>
  <si>
    <t>Оксана</t>
  </si>
  <si>
    <t>консультация для ребенка,хотят на регулярной основе заниматься, назвала список "проблем" у ребенка</t>
  </si>
  <si>
    <t>вывеска в ЦП</t>
  </si>
  <si>
    <t>Запись к Косьяненко.</t>
  </si>
  <si>
    <t>Мария и Святослав</t>
  </si>
  <si>
    <t>сарафанное радио</t>
  </si>
  <si>
    <t>Зависимость от гаджитов, не ходит в школу, по ночам сидит в телефоне или играет</t>
  </si>
  <si>
    <t>Дали наш номер и сказали СВ работает с зависимостями</t>
  </si>
  <si>
    <t>ЕЛена</t>
  </si>
  <si>
    <t>16 лет парня булят в колледже</t>
  </si>
  <si>
    <t>в инете, коллега на работе приводила ребенка</t>
  </si>
  <si>
    <t xml:space="preserve">Ребенок 12 лет,сам попросился к психологу. </t>
  </si>
  <si>
    <t>В иннетрнете</t>
  </si>
  <si>
    <t>Ярослав</t>
  </si>
  <si>
    <t>Семейная,разобраться в отношениях</t>
  </si>
  <si>
    <t>Рекомендация от Ирины</t>
  </si>
  <si>
    <t>сообщение</t>
  </si>
  <si>
    <t>Аренда кабинета для холлистического массажа</t>
  </si>
  <si>
    <t>нашла нас на авито</t>
  </si>
  <si>
    <t xml:space="preserve">Екатерина </t>
  </si>
  <si>
    <t xml:space="preserve">Звонок </t>
  </si>
  <si>
    <t xml:space="preserve">Ребенок 6 лет </t>
  </si>
  <si>
    <t xml:space="preserve">Старый клиент </t>
  </si>
  <si>
    <t xml:space="preserve">Запись к Косьяненко </t>
  </si>
  <si>
    <t>Звонок</t>
  </si>
  <si>
    <t>Детская консультация 9 лет София. Попросились в день в день записать</t>
  </si>
  <si>
    <t>Авито</t>
  </si>
  <si>
    <t>Февраль</t>
  </si>
  <si>
    <t>Светлана</t>
  </si>
  <si>
    <t>Детская консультация 7 лет</t>
  </si>
  <si>
    <t>Меркун рекомендовал</t>
  </si>
  <si>
    <t>Таниян</t>
  </si>
  <si>
    <t>Хочет к клиническому психологу</t>
  </si>
  <si>
    <t>Аренда кабинета для психолога</t>
  </si>
  <si>
    <t>Ждет подтверждение от клиента о времени</t>
  </si>
  <si>
    <t xml:space="preserve">Алексей </t>
  </si>
  <si>
    <t>По семейным вопросам</t>
  </si>
  <si>
    <t xml:space="preserve">Интернет </t>
  </si>
  <si>
    <t>Записался в этот же день ,пришел к Косьяненко</t>
  </si>
  <si>
    <t>Татьяна</t>
  </si>
  <si>
    <t xml:space="preserve">По беременности ,нужна справка </t>
  </si>
  <si>
    <t xml:space="preserve">Запись к Мовчан </t>
  </si>
  <si>
    <t>Артём</t>
  </si>
  <si>
    <t>Аля забыла спросить, мб Наталья знает</t>
  </si>
  <si>
    <t>Антон</t>
  </si>
  <si>
    <t>Поговорить с психологом,причину не захотел говорить.</t>
  </si>
  <si>
    <t>Интернет,карты</t>
  </si>
  <si>
    <t>Записался к Зайчиковой</t>
  </si>
  <si>
    <t>Элла</t>
  </si>
  <si>
    <t>Самозапись</t>
  </si>
  <si>
    <t>2-Гис.</t>
  </si>
  <si>
    <t>Запись к Наталье.</t>
  </si>
  <si>
    <t>Ольга</t>
  </si>
  <si>
    <t>жду ответ</t>
  </si>
  <si>
    <t>Браузер, вписала просто консультация психолога</t>
  </si>
  <si>
    <t xml:space="preserve">Анна </t>
  </si>
  <si>
    <t xml:space="preserve">Апатия </t>
  </si>
  <si>
    <t xml:space="preserve">Сберздоровье </t>
  </si>
  <si>
    <t>Запись к Тиунову</t>
  </si>
  <si>
    <t>Дарья</t>
  </si>
  <si>
    <t>Ребнеок 9 лет высокофункциональный аутизм.</t>
  </si>
  <si>
    <t>Знают нас из парка елочки.</t>
  </si>
  <si>
    <t xml:space="preserve">Ольга </t>
  </si>
  <si>
    <t xml:space="preserve">Ребенок 8 лет ,обманывает,никого не слушает </t>
  </si>
  <si>
    <t xml:space="preserve">Запись к Кучеренко </t>
  </si>
  <si>
    <t>Инеса 9 лет, Беспокоится, болит голова, живот, позывы рвоты, как попадает в больницу успокаивается</t>
  </si>
  <si>
    <t>Матвей 13 лет. Тяжелые отношения в семье .</t>
  </si>
  <si>
    <t xml:space="preserve">Запись к Тиунову </t>
  </si>
  <si>
    <t xml:space="preserve">Эльвира </t>
  </si>
  <si>
    <t xml:space="preserve">Катя 16 лет . Изменился ребенок ,стала негативной и проявляет агрессию </t>
  </si>
  <si>
    <t>Интернет</t>
  </si>
  <si>
    <t>Запись к Кучеренко в этот же день ,дошли.</t>
  </si>
  <si>
    <t>Арина</t>
  </si>
  <si>
    <t>22 года.Посоветовали курс</t>
  </si>
  <si>
    <t>Запись на курс,внесли предоплату</t>
  </si>
  <si>
    <t>Ангелина</t>
  </si>
  <si>
    <t>Невролог направила, всплески агрессии, Лиза 11 лет</t>
  </si>
  <si>
    <t>Алина</t>
  </si>
  <si>
    <t>Не хочет учиться, Иван 9 лет</t>
  </si>
  <si>
    <t>написала в ТГ</t>
  </si>
  <si>
    <t>у 3х летнего ребенка запоры</t>
  </si>
  <si>
    <t>Влада</t>
  </si>
  <si>
    <t>Консультация с ребенком</t>
  </si>
  <si>
    <t>УТОЧНИТЬ В ЧТ</t>
  </si>
  <si>
    <t>Анастасия</t>
  </si>
  <si>
    <t>Семейная консультация для пары.</t>
  </si>
  <si>
    <t xml:space="preserve">Интернет ,Яндекс </t>
  </si>
  <si>
    <t xml:space="preserve">Выезд на дом ,поедет Ирина </t>
  </si>
  <si>
    <t>Развод родителей.</t>
  </si>
  <si>
    <t xml:space="preserve">Артем </t>
  </si>
  <si>
    <t xml:space="preserve">Развод с женой ,семейная </t>
  </si>
  <si>
    <t xml:space="preserve">Запись к косьяненко </t>
  </si>
  <si>
    <t xml:space="preserve">Елена </t>
  </si>
  <si>
    <t>Мальчик 12 лет ,курит ашкуди,матерится ,ругается со всеми,маму вызывали в школу 5 раз.</t>
  </si>
  <si>
    <t xml:space="preserve">Рекомендация директора школы </t>
  </si>
  <si>
    <t xml:space="preserve">Виктор </t>
  </si>
  <si>
    <t>Запись к Лукьяновой ,по рекомендации ,будет пролетом в Москве.</t>
  </si>
  <si>
    <t xml:space="preserve">Рекомендация </t>
  </si>
  <si>
    <t xml:space="preserve">Запись к Лукьяновой </t>
  </si>
  <si>
    <t>@alinanikitinaa</t>
  </si>
  <si>
    <t>уточняла стоимость сессий</t>
  </si>
  <si>
    <t>Порекомендовала подруга</t>
  </si>
  <si>
    <t>Записалась в другое место</t>
  </si>
  <si>
    <t>Поймали ребенка на воровстве в магазине</t>
  </si>
  <si>
    <t>Живет рядом с центром</t>
  </si>
  <si>
    <t>Март</t>
  </si>
  <si>
    <t>Алена</t>
  </si>
  <si>
    <t>ВК</t>
  </si>
  <si>
    <t>Переписка</t>
  </si>
  <si>
    <t>Консультация к Анастасии 12 лет</t>
  </si>
  <si>
    <t>От Хорошавцевой</t>
  </si>
  <si>
    <t>Сберздоровья</t>
  </si>
  <si>
    <t>Запиались к Косьяненко</t>
  </si>
  <si>
    <t>Наталья Михайловна</t>
  </si>
  <si>
    <t>Сказала что ей плохо и ей нужен психотерапевт</t>
  </si>
  <si>
    <t>Искала в интеренте психотерапевта, наткнулась на сайт</t>
  </si>
  <si>
    <t>Запись к СВ</t>
  </si>
  <si>
    <t xml:space="preserve">Кристина </t>
  </si>
  <si>
    <t xml:space="preserve">Сергей </t>
  </si>
  <si>
    <t xml:space="preserve">Проблемы в отношениях </t>
  </si>
  <si>
    <t xml:space="preserve">Яндекс карта </t>
  </si>
  <si>
    <t>Запись к меркуну</t>
  </si>
  <si>
    <t>Кристина</t>
  </si>
  <si>
    <t>Ирина</t>
  </si>
  <si>
    <t xml:space="preserve">После развода ,хочет лучше узнать себя </t>
  </si>
  <si>
    <t xml:space="preserve">Рекомендация,были ранее в академии </t>
  </si>
  <si>
    <t>Мария</t>
  </si>
  <si>
    <t>АНтон</t>
  </si>
  <si>
    <t>Выписать новый рецепт</t>
  </si>
  <si>
    <t>Татяьна (Егор 10 лет)</t>
  </si>
  <si>
    <t>Ребенок конфликтует с другом</t>
  </si>
  <si>
    <t>Сестра, предполагает депрессию у брата, буллинг в школе, без эмоциональный, в день звонка наносил на себя увечия, чтобы не идти в школу</t>
  </si>
  <si>
    <t>Михаил</t>
  </si>
  <si>
    <t>Записала жена мужа по потере близкого человека</t>
  </si>
  <si>
    <t>Видимо сын записал маму на консультацию</t>
  </si>
  <si>
    <t>Нажежда</t>
  </si>
  <si>
    <t>Аренда кабинета для игры</t>
  </si>
  <si>
    <t>Аренда кабинета.</t>
  </si>
  <si>
    <t>Нервы у ребенка,раздирает кожу  в кровь.</t>
  </si>
  <si>
    <t>Мальчик 14 лет,суицыдальные масли.</t>
  </si>
  <si>
    <t>Интеренет</t>
  </si>
  <si>
    <t>запись 29.03</t>
  </si>
  <si>
    <t>Подросток</t>
  </si>
  <si>
    <t>Через сайт</t>
  </si>
  <si>
    <t>Люсяна</t>
  </si>
  <si>
    <t xml:space="preserve">Лично </t>
  </si>
  <si>
    <t>Запись через Наталья</t>
  </si>
  <si>
    <t>Запись к кучеренко</t>
  </si>
  <si>
    <t>Аля</t>
  </si>
  <si>
    <t>Руслан</t>
  </si>
  <si>
    <t xml:space="preserve">Сбер здоровье </t>
  </si>
  <si>
    <t>Запись к тиунову</t>
  </si>
  <si>
    <t>Дети 10- 13 лет</t>
  </si>
  <si>
    <t>Примечание</t>
  </si>
  <si>
    <t>ФИО</t>
  </si>
  <si>
    <t>Телефон</t>
  </si>
  <si>
    <t>01.04.26</t>
  </si>
  <si>
    <t>пока ходить не будет</t>
  </si>
  <si>
    <t>Михелько Федор (Юля)</t>
  </si>
  <si>
    <t>7-926-315-20-90</t>
  </si>
  <si>
    <t>10% многодетные, пока не будет ходить</t>
  </si>
  <si>
    <t>Отмена курса по болезни психологов</t>
  </si>
  <si>
    <t xml:space="preserve">Пока ходить не будут </t>
  </si>
  <si>
    <t>не ходят</t>
  </si>
  <si>
    <t>не ходит</t>
  </si>
  <si>
    <t xml:space="preserve">Ну ходит </t>
  </si>
  <si>
    <t>3 из 4 (2 пропуска было)</t>
  </si>
  <si>
    <t>Эльвира Сын 11 лет (Тихон)</t>
  </si>
  <si>
    <t>79162464080, папа Саша 89015000660</t>
  </si>
  <si>
    <t>2 из 4- тут уже 2 пропуска</t>
  </si>
  <si>
    <t>не было</t>
  </si>
  <si>
    <t>отмена занятий</t>
  </si>
  <si>
    <t>4\4</t>
  </si>
  <si>
    <t>1\4</t>
  </si>
  <si>
    <t>3\4</t>
  </si>
  <si>
    <t>не будет</t>
  </si>
  <si>
    <t>Планируют</t>
  </si>
  <si>
    <t>3 из 4 (был 1 пропуск)</t>
  </si>
  <si>
    <t>Юлия(Полина 12 лет)</t>
  </si>
  <si>
    <t>7 964 509-51-26</t>
  </si>
  <si>
    <t>пропуск (посетила 2 из 4)</t>
  </si>
  <si>
    <t>болеют</t>
  </si>
  <si>
    <t>2\4</t>
  </si>
  <si>
    <t>будут</t>
  </si>
  <si>
    <t>4 из 4</t>
  </si>
  <si>
    <t>Марк (мама Кристина)</t>
  </si>
  <si>
    <t>2 из 4</t>
  </si>
  <si>
    <t>3 из 4</t>
  </si>
  <si>
    <t>пропуск</t>
  </si>
  <si>
    <t>3 из 4 (1 пропуск уже был)</t>
  </si>
  <si>
    <t>Мама Ольга(Кира)</t>
  </si>
  <si>
    <t>7 977 277-04-94 89265589674 ВА</t>
  </si>
  <si>
    <t>1 из 4 (1 пропуск уже был)</t>
  </si>
  <si>
    <t>2 из 4 (1 пропуск уже был)</t>
  </si>
  <si>
    <t>болеет</t>
  </si>
  <si>
    <t>Будут</t>
  </si>
  <si>
    <t>Квашина Афанасий (мама Ольга)</t>
  </si>
  <si>
    <t>01.04.2026 (уже оплатила абонемент ранее)</t>
  </si>
  <si>
    <t>Степан (мама Ольга)</t>
  </si>
  <si>
    <t>903 145-67-86</t>
  </si>
  <si>
    <t xml:space="preserve"> не будет</t>
  </si>
  <si>
    <t>Анна(Артем 11 Лет)
+7 926 880-39-11</t>
  </si>
  <si>
    <t>Были у Ирины 17.01, говорит ему групповое лучше подойдет, мама сказала 24.01 у них мероприятие поэтому может быть 31.01 придут. НАПОМНИТЬ ИМ О ЗАНЯТИЯХ!!</t>
  </si>
  <si>
    <t xml:space="preserve">Не будет </t>
  </si>
  <si>
    <t xml:space="preserve">Думают </t>
  </si>
  <si>
    <t>Оксана мама 9153253634</t>
  </si>
  <si>
    <t>не отвечают смс,звонок</t>
  </si>
  <si>
    <t>Минакова Алена и Александра</t>
  </si>
  <si>
    <t>не хочет ходить</t>
  </si>
  <si>
    <t>не хочет ходить, обсуждаем индивидуально с НАстей продолжить</t>
  </si>
  <si>
    <t>думают будут ли продолжать</t>
  </si>
  <si>
    <t>Анастасия Алена</t>
  </si>
  <si>
    <t xml:space="preserve">Игнорит </t>
  </si>
  <si>
    <t>Не отвечает</t>
  </si>
  <si>
    <t>нет ответа</t>
  </si>
  <si>
    <t>Описание</t>
  </si>
  <si>
    <t>Ребята учатся высказывать свои мысли, выступать перед аудиторией, выстраивать взаимодействия друг с другом, правильно входить в контакт, проживать разные эмоции в безопасности</t>
  </si>
  <si>
    <t>ФАКТ ЗАНЯТИЙ</t>
  </si>
  <si>
    <t>Ник в ТГ</t>
  </si>
  <si>
    <t>Кимлеченко Алиса (мама Юля)</t>
  </si>
  <si>
    <t>7-926-380-60-70</t>
  </si>
  <si>
    <t>@staraya_ju</t>
  </si>
  <si>
    <t>не был</t>
  </si>
  <si>
    <t>Была. Разовая оплата была 17.01</t>
  </si>
  <si>
    <t>Ходит по случаю</t>
  </si>
  <si>
    <t>Исмаилов Степан (Юлия)</t>
  </si>
  <si>
    <t>7-196-731-31-78</t>
  </si>
  <si>
    <t>заболел</t>
  </si>
  <si>
    <t>1 из 4</t>
  </si>
  <si>
    <t>февраль ходить не будет, ОГЭ, подготовка по Сб</t>
  </si>
  <si>
    <t>не будет ходиь</t>
  </si>
  <si>
    <t>Будет</t>
  </si>
  <si>
    <t>Пиняскина Юля (мама Елена)</t>
  </si>
  <si>
    <t>7-916-275-43-49</t>
  </si>
  <si>
    <t>не будет ходить</t>
  </si>
  <si>
    <t>Шульга Диана (Надежда мама)
 Диана номер-89162256644</t>
  </si>
  <si>
    <t>7-916-270-66-55</t>
  </si>
  <si>
    <t>пока не будет ходить</t>
  </si>
  <si>
    <t>Аверочкина Алина (Варя)</t>
  </si>
  <si>
    <t>7-926-190-69-60 м
 7 916 555-73-78 п</t>
  </si>
  <si>
    <t>Королева Софья (мама Светлана) Софья номер- 89166820252</t>
  </si>
  <si>
    <t>7-917-517-88-02</t>
  </si>
  <si>
    <t>пропуск (был на 2 из 4)</t>
  </si>
  <si>
    <t>пропуск (погодные условия не дали приехать)</t>
  </si>
  <si>
    <t>Остаток абонемента пойдет на инд-ную конс-цию с Галиной</t>
  </si>
  <si>
    <t>Михейко Алиса (мама Юлия)</t>
  </si>
  <si>
    <t>многодетные</t>
  </si>
  <si>
    <t>Пока не будет ходить</t>
  </si>
  <si>
    <t>Софья (мама Наталья)</t>
  </si>
  <si>
    <t>заболела</t>
  </si>
  <si>
    <t>проспук</t>
  </si>
  <si>
    <t>не будут</t>
  </si>
  <si>
    <t>пока ходить не будет (нужен отдых)</t>
  </si>
  <si>
    <t>Куприянов Тимофей (мама Елена)</t>
  </si>
  <si>
    <t>7-916-175-89-44</t>
  </si>
  <si>
    <t>(дочь Ричкус Александра)</t>
  </si>
  <si>
    <t>@oksurikus</t>
  </si>
  <si>
    <t>мама заболела</t>
  </si>
  <si>
    <t>игнор</t>
  </si>
  <si>
    <t>Талагаева Алена (мама Людмила)</t>
  </si>
  <si>
    <t>7-903-151-97-99</t>
  </si>
  <si>
    <t xml:space="preserve">Будут </t>
  </si>
  <si>
    <t>нет</t>
  </si>
  <si>
    <t>Уточняют</t>
  </si>
  <si>
    <t>Яна (мама Яковлева Марина)</t>
  </si>
  <si>
    <t>оплатили абонемент и не пришли</t>
  </si>
  <si>
    <t>игнор,телефон не отвечает</t>
  </si>
  <si>
    <t>Эвелина (мама Анна)</t>
  </si>
  <si>
    <t>7 977 314 7721</t>
  </si>
  <si>
    <t>БУдет, задержится</t>
  </si>
  <si>
    <t>Евгения, дочь Валерия 13 лет</t>
  </si>
  <si>
    <t>7 903 736-73-83 (МАКС приглашала их)</t>
  </si>
  <si>
    <t>у них соревнования</t>
  </si>
  <si>
    <t>Напомнить о курсах, дочь 14.02 не решилась пойти на группу</t>
  </si>
  <si>
    <t>Людмила(Дарья)</t>
  </si>
  <si>
    <t>8963 685-63-55</t>
  </si>
  <si>
    <t>Неволин Владимир</t>
  </si>
  <si>
    <t>7-903-551-20-85</t>
  </si>
  <si>
    <t>не планирует посещение</t>
  </si>
  <si>
    <t>Елена (Дмитрий Анисимов)</t>
  </si>
  <si>
    <t>7-952-312-02-31</t>
  </si>
  <si>
    <t>Не будет на кп ходить ,писал об этом 4 февраля</t>
  </si>
  <si>
    <t>Архив</t>
  </si>
  <si>
    <t>Мария,сын Святослав 14л, онлайн</t>
  </si>
  <si>
    <t>от Насти, она им предлагала приехать</t>
  </si>
  <si>
    <t>Ходить не будут, занимаются с психологом</t>
  </si>
  <si>
    <t>были, не понравилось, будут ходить в индивидуалку</t>
  </si>
  <si>
    <t>Лиза (мама Марина Мандрик)</t>
  </si>
  <si>
    <t>ходить не будут, пока Тимофей ходит, со слов мамы она все поняла</t>
  </si>
  <si>
    <t>АлександрА (мама Елена)</t>
  </si>
  <si>
    <t>Была 1 раз (разовая оплата)</t>
  </si>
  <si>
    <t>не зашел такой формат</t>
  </si>
  <si>
    <t>не понравился фрмат,сообщили еще 31 января</t>
  </si>
  <si>
    <t>Наталья Прошкина</t>
  </si>
  <si>
    <t>9167931098 (ТГ)</t>
  </si>
  <si>
    <t>ребенок пока не готов ходить</t>
  </si>
  <si>
    <t>Марина, сын Тимофей</t>
  </si>
  <si>
    <t>предложить им</t>
  </si>
  <si>
    <t>Количество консультаций/ аренда</t>
  </si>
  <si>
    <t>Месяц</t>
  </si>
  <si>
    <t>Дата</t>
  </si>
  <si>
    <t>Детская до 14</t>
  </si>
  <si>
    <t>Подростковая 15-17</t>
  </si>
  <si>
    <t>Взрослая</t>
  </si>
  <si>
    <t>Семейная</t>
  </si>
  <si>
    <t>Итого консульт</t>
  </si>
  <si>
    <t>Название мероприятия (онлайн и офлайн)</t>
  </si>
  <si>
    <t>Кол-во присутсвующих (вкл. подростки, онлайн, время для женщин/родителей)</t>
  </si>
  <si>
    <t>Записи встреч</t>
  </si>
  <si>
    <t>Аренда часы</t>
  </si>
  <si>
    <t>ДЕКАБРЬ</t>
  </si>
  <si>
    <t>Подростки 13-17 лет</t>
  </si>
  <si>
    <t>Подростки 10 - 13 лет</t>
  </si>
  <si>
    <t xml:space="preserve">Время для женщин </t>
  </si>
  <si>
    <t>Время для родителей</t>
  </si>
  <si>
    <t>Игра Лила</t>
  </si>
  <si>
    <t>Расстановки</t>
  </si>
  <si>
    <t xml:space="preserve">Время для родителей </t>
  </si>
  <si>
    <t>Подростки 10-12 лет</t>
  </si>
  <si>
    <t xml:space="preserve">Расстановки </t>
  </si>
  <si>
    <t>Бабенко_Онлайн</t>
  </si>
  <si>
    <t>Девичник</t>
  </si>
  <si>
    <t>Декабрь 25</t>
  </si>
  <si>
    <t>Итого</t>
  </si>
  <si>
    <t>ЯНВАРЬ</t>
  </si>
  <si>
    <t>Курс для подростков 14-17 лет</t>
  </si>
  <si>
    <t>Курс для подростков 10-13 лет</t>
  </si>
  <si>
    <t>Время для женщин</t>
  </si>
  <si>
    <t>Игра "Ключи от кармы"</t>
  </si>
  <si>
    <t>Игра 7 шагов стройности</t>
  </si>
  <si>
    <t>Мак обучение</t>
  </si>
  <si>
    <t>Хорошавцева Телесная практика</t>
  </si>
  <si>
    <t>Январь 26</t>
  </si>
  <si>
    <t>Итог</t>
  </si>
  <si>
    <t>ФЕВРАЛЬ</t>
  </si>
  <si>
    <t>Время для родителей Полыгалова</t>
  </si>
  <si>
    <t>Тибетские чаши</t>
  </si>
  <si>
    <t>Женский круг Косьяненко</t>
  </si>
  <si>
    <t>Игра "Любовь и деньги"_Косьяненко</t>
  </si>
  <si>
    <t>Время для родителей "Как защитить ребенка?"</t>
  </si>
  <si>
    <t>Эфир «Молчу – терплю – взрываюсь: как научиться диалогу, где все выиграли»</t>
  </si>
  <si>
    <t>перенос на 24.02</t>
  </si>
  <si>
    <t>Игра "Полярная звезда"_Косьяненко</t>
  </si>
  <si>
    <t>отмена</t>
  </si>
  <si>
    <t>Расстановочные практики + индивидуальная</t>
  </si>
  <si>
    <t>Женский круг_Кучеренко</t>
  </si>
  <si>
    <t>Счастье начинается с меня</t>
  </si>
  <si>
    <t>перенос на 1.03</t>
  </si>
  <si>
    <t>Расстановочные практики_Бабенко</t>
  </si>
  <si>
    <t>Март 26</t>
  </si>
  <si>
    <t>Группа подростков 10-13 лет</t>
  </si>
  <si>
    <t>Группа подростков 14-17 лет</t>
  </si>
  <si>
    <t>Время для родителей "Сначала маску на себя: Почему спокойная мама - это залог адекватного поведения ребенка"</t>
  </si>
  <si>
    <t>Т-игра "Ключи от кармы"</t>
  </si>
  <si>
    <t>Расстановочные практики</t>
  </si>
  <si>
    <t>Время для женщин: Разговор по душам.</t>
  </si>
  <si>
    <t>Т-игра "Любовь и деньги"</t>
  </si>
  <si>
    <t>Практики "Даосские пульсации"</t>
  </si>
  <si>
    <t>Время для родителей "Мой ребенок меня не слышит"</t>
  </si>
  <si>
    <t>АПРЕЛЬ</t>
  </si>
  <si>
    <t>Дата контакта</t>
  </si>
  <si>
    <t>Номера телефона</t>
  </si>
  <si>
    <t>Результат</t>
  </si>
  <si>
    <t>(22.12)Крупица  Марк</t>
  </si>
  <si>
    <t>(22.12) Минакова Алена</t>
  </si>
  <si>
    <t>(22.12)Наталья</t>
  </si>
  <si>
    <t>24.12 Людмила(Алена)</t>
  </si>
  <si>
    <t>7 903 151-97-99</t>
  </si>
  <si>
    <t xml:space="preserve">24.12 Мария </t>
  </si>
  <si>
    <t>7 926 531-79-46</t>
  </si>
  <si>
    <t>24.12 Елена</t>
  </si>
  <si>
    <t>7 926 727-69-01</t>
  </si>
  <si>
    <t>26.12 Елена</t>
  </si>
  <si>
    <t>26.12 Джулай</t>
  </si>
  <si>
    <t>26.12 Настя</t>
  </si>
  <si>
    <t>Татьяна Сын Егор</t>
  </si>
  <si>
    <t>7 916 716 4235</t>
  </si>
  <si>
    <t>Наталья, Василиса 11 лет</t>
  </si>
  <si>
    <t>7 925 450-16-30</t>
  </si>
  <si>
    <t xml:space="preserve">Елена  </t>
  </si>
  <si>
    <t>7 999 771-58-09</t>
  </si>
  <si>
    <t xml:space="preserve">Варвара  </t>
  </si>
  <si>
    <t>7 977 484-62-51</t>
  </si>
  <si>
    <t xml:space="preserve">Наталья  </t>
  </si>
  <si>
    <t>7 926 595-64-89</t>
  </si>
  <si>
    <t>7 915 432 9181</t>
  </si>
  <si>
    <t>7 917 591 1166</t>
  </si>
  <si>
    <t>прислала скрин что оставила отзыв. Дать скидку</t>
  </si>
  <si>
    <t>Алсу</t>
  </si>
  <si>
    <t>7 968 655 6026</t>
  </si>
  <si>
    <t xml:space="preserve">Маргарита </t>
  </si>
  <si>
    <t>Вера Михайловна (Олеся Андреева 15 л)</t>
  </si>
  <si>
    <t>Людмила</t>
  </si>
  <si>
    <t>7 916 329 9731</t>
  </si>
  <si>
    <t>7 926 216 7861</t>
  </si>
  <si>
    <t xml:space="preserve">7 926 880 3911 </t>
  </si>
  <si>
    <t>Андрей</t>
  </si>
  <si>
    <t>Дмитрий</t>
  </si>
  <si>
    <t>7 926 102 8773</t>
  </si>
  <si>
    <t>Виолетта</t>
  </si>
  <si>
    <t>@veta15_16</t>
  </si>
  <si>
    <t xml:space="preserve">Татьяна   </t>
  </si>
  <si>
    <t>7 902 515 7837</t>
  </si>
  <si>
    <t>Елизавета Корнеева</t>
  </si>
  <si>
    <t>Татьяна Егор</t>
  </si>
  <si>
    <t>Мария к Тиунову</t>
  </si>
  <si>
    <t>Полина</t>
  </si>
  <si>
    <t xml:space="preserve">Написала </t>
  </si>
  <si>
    <t xml:space="preserve">Эвелина </t>
  </si>
  <si>
    <t>Камилла</t>
  </si>
  <si>
    <t>@meoowwaaa</t>
  </si>
  <si>
    <t xml:space="preserve">Мария </t>
  </si>
  <si>
    <t>Из КП(имя не указано)</t>
  </si>
  <si>
    <t>@syrisik</t>
  </si>
  <si>
    <t xml:space="preserve">Алиса </t>
  </si>
  <si>
    <t xml:space="preserve">Арина </t>
  </si>
  <si>
    <t>Из кп(номера и тега нет)</t>
  </si>
  <si>
    <t>Светлана Онлайн</t>
  </si>
  <si>
    <t>7 912 573 5553</t>
  </si>
  <si>
    <t>Прислала скрин 21.02</t>
  </si>
  <si>
    <t>Запросила повторно, тк планируют покупать абонемент)</t>
  </si>
  <si>
    <t>КП Надежда Диана 15 Лет</t>
  </si>
  <si>
    <t>Елена семейная К Ирине</t>
  </si>
  <si>
    <t>Из кп (имя не указано)</t>
  </si>
  <si>
    <t>@Joker_this</t>
  </si>
  <si>
    <t>Из кп(имя не указано)</t>
  </si>
  <si>
    <t>@nenkeys</t>
  </si>
  <si>
    <t>@B0LGRARKA0</t>
  </si>
  <si>
    <t>Елена Вика 12 лет</t>
  </si>
  <si>
    <t>Ольга (Костя, Паша, Миша)</t>
  </si>
  <si>
    <t xml:space="preserve">Инна </t>
  </si>
  <si>
    <t>Вера</t>
  </si>
  <si>
    <t xml:space="preserve">Елена аренда </t>
  </si>
  <si>
    <t xml:space="preserve">Виктория </t>
  </si>
  <si>
    <t xml:space="preserve">Дарья </t>
  </si>
  <si>
    <t>Денис</t>
  </si>
  <si>
    <t>@sleepless_lilaac</t>
  </si>
  <si>
    <t xml:space="preserve">Каролина </t>
  </si>
  <si>
    <t>Нет имени ,с КП.</t>
  </si>
  <si>
    <t>@risamiq</t>
  </si>
  <si>
    <t>@spejdboswl</t>
  </si>
  <si>
    <t>@ma3y_Xs58</t>
  </si>
  <si>
    <t>Александр</t>
  </si>
  <si>
    <t>@Arskim75</t>
  </si>
  <si>
    <t>Эльвира</t>
  </si>
  <si>
    <t>Владислава</t>
  </si>
  <si>
    <t>Елена и Геннадий</t>
  </si>
  <si>
    <t>написала в ВК</t>
  </si>
  <si>
    <t>Светлана и Костя</t>
  </si>
  <si>
    <t>Ирина Богачева</t>
  </si>
  <si>
    <t>запросила отзыв на расстановки</t>
  </si>
  <si>
    <t xml:space="preserve">Антон </t>
  </si>
  <si>
    <t>Александра</t>
  </si>
  <si>
    <t xml:space="preserve">Аверочкина </t>
  </si>
  <si>
    <t xml:space="preserve">Людмила </t>
  </si>
  <si>
    <t xml:space="preserve">Егор </t>
  </si>
  <si>
    <t xml:space="preserve">Александра </t>
  </si>
  <si>
    <t>@Olga_faizrahmanova</t>
  </si>
  <si>
    <t>7 916 496 2705</t>
  </si>
  <si>
    <t>Роман</t>
  </si>
  <si>
    <t>Надежда</t>
  </si>
  <si>
    <t>7 925 071 31 01</t>
  </si>
  <si>
    <t>7 906 092-38-42</t>
  </si>
  <si>
    <t>С КП</t>
  </si>
  <si>
    <t>@Reflect_luser</t>
  </si>
  <si>
    <t>Апрель</t>
  </si>
  <si>
    <t>Время</t>
  </si>
  <si>
    <t>Название</t>
  </si>
  <si>
    <t>Ведущий</t>
  </si>
  <si>
    <t xml:space="preserve">Стоимость </t>
  </si>
  <si>
    <t>КАЖДУЮ СУББОТУ</t>
  </si>
  <si>
    <t>Курс для подростков 10-13 лет.</t>
  </si>
  <si>
    <t>Мовчан Екатерина, Зайчикова Олеся.</t>
  </si>
  <si>
    <t>1600 одно, 4500 абонемент (4 занятия)</t>
  </si>
  <si>
    <t>Курс для подростков 13-17 лет.</t>
  </si>
  <si>
    <t>Полыгалова Анастасия, Кучеренко Галина.</t>
  </si>
  <si>
    <t>КАЖДОЕ ВОСКРЕСЕНЬЕ</t>
  </si>
  <si>
    <t>Курс "Счастье начинается с меня"</t>
  </si>
  <si>
    <t>Психологи центра</t>
  </si>
  <si>
    <t>абонемент на 1 месяц 8000 рублей ,на 3 месяца 21.000</t>
  </si>
  <si>
    <t>Ирина Косьяненко</t>
  </si>
  <si>
    <t>4500 рублей.</t>
  </si>
  <si>
    <t>Анастасия Полыгалова</t>
  </si>
  <si>
    <t>2000 рублей.</t>
  </si>
  <si>
    <t xml:space="preserve">МАК-обучение </t>
  </si>
  <si>
    <t>Наталья Лукьянова</t>
  </si>
  <si>
    <t>15.000( 4 занятия)</t>
  </si>
  <si>
    <t>Анастасия Хорошавцева</t>
  </si>
  <si>
    <t>3500 рублей.</t>
  </si>
  <si>
    <t>Александр Бабенко</t>
  </si>
  <si>
    <t>Клиент 7900 р, заместитель 1500 р</t>
  </si>
  <si>
    <t>Время для женщин ОНЛАЙН "Отношения с мужчиной"</t>
  </si>
  <si>
    <t xml:space="preserve">2000 рублей </t>
  </si>
  <si>
    <t>ОНЛАЙН Супервизия по МАК.</t>
  </si>
  <si>
    <t>6000 рублей(4 занятия)</t>
  </si>
  <si>
    <t>Время для родителей(Стратегии преодоления стресса в детско-родительских отношениях)</t>
  </si>
  <si>
    <t>Максим Меркун</t>
  </si>
  <si>
    <t>500 рублей</t>
  </si>
  <si>
    <t>Май</t>
  </si>
  <si>
    <t>Дата (Очно)</t>
  </si>
  <si>
    <t>Дата (Онлайн)</t>
  </si>
  <si>
    <t xml:space="preserve">Екатерина Мовчан </t>
  </si>
  <si>
    <t>Что интересно? Куда приглашать</t>
  </si>
  <si>
    <t>Оксана, 2 сына по годки</t>
  </si>
  <si>
    <t>Время для женщин, расстановки</t>
  </si>
  <si>
    <t>Тема</t>
  </si>
  <si>
    <t>Как заставить ребенка учиться?</t>
  </si>
  <si>
    <t>Мария Ермолаева</t>
  </si>
  <si>
    <t>расставноки</t>
  </si>
  <si>
    <t>Андрей и Светала</t>
  </si>
  <si>
    <t>Елена на Мак</t>
  </si>
  <si>
    <t>попросила анонс прислать на МАК встречу</t>
  </si>
  <si>
    <t>Марьяна</t>
  </si>
  <si>
    <t>терапевтические группы</t>
  </si>
  <si>
    <t>N</t>
  </si>
  <si>
    <t>Наименование вебинара</t>
  </si>
  <si>
    <t>Ссылка на веб</t>
  </si>
  <si>
    <t>Как установки родителей влияют на детей</t>
  </si>
  <si>
    <t>https://disk.yandex.ru/i/gVXMccQFLYWd0w</t>
  </si>
  <si>
    <t>Агрессия и гнев подростка. Что делать?</t>
  </si>
  <si>
    <t>https://disk.yandex.ru/i/X1brNqSAGvzqyA</t>
  </si>
  <si>
    <t>Как наладить отношения с подростком?</t>
  </si>
  <si>
    <t>https://disk.yandex.ru/i/0hVMCYfm_LY2MQ</t>
  </si>
  <si>
    <t>Как распознать подростковую депрессию?</t>
  </si>
  <si>
    <t>https://disk.yandex.ru/i/9mT1w2NxxFs2cg</t>
  </si>
  <si>
    <t>Отличная логика! Вы выстраиваете систему работы с первичным клиентом, которая:</t>
  </si>
  <si>
    <t>· показывает заботу,</t>
  </si>
  <si>
    <t>· собирает обратную связь,</t>
  </si>
  <si>
    <t>· повышает вероятность возврата,</t>
  </si>
  <si>
    <t>· и работает на репутацию центра.</t>
  </si>
  <si>
    <t>Давайте зафиксируем и структурируем эту логику, чтобы у вас получился готовый скрипт (алгоритм) работы с первичным клиентом.</t>
  </si>
  <si>
    <t>---</t>
  </si>
  <si>
    <t>📋 Скрипт работы с первичным клиентом</t>
  </si>
  <si>
    <t>Этап 1. Первичная консультация</t>
  </si>
  <si>
    <t>· Проведена консультация.</t>
  </si>
  <si>
    <t>· В конце психолог или администратор предлагает записаться на следующую встречу (если есть необходимость).</t>
  </si>
  <si>
    <t>Если клиент соглашается:</t>
  </si>
  <si>
    <t>→ Записываем, фиксируем. Всё хорошо, дальнейшая работа по стандартному скрипту записи.</t>
  </si>
  <si>
    <t>Если клиент отказывается (или говорит «я подумаю», «напишу позже»):</t>
  </si>
  <si>
    <t>→ Переходим к Этапу 2.</t>
  </si>
  <si>
    <t>Этап 2. Через 1 час после отказа</t>
  </si>
  <si>
    <t>Цель: собрать обратную связь, пока впечатления свежие.</t>
  </si>
  <si>
    <t>Текст (от центра):</t>
  </si>
  <si>
    <t>🌿 Добрый день! Скажите, пожалуйста, как вам консультация у [имя психолога]? Если оценивать по 5-балльной шкале, где 5 — «очень понравилось», а 1 — «больше не приду». Будем рады вашей обратной связи 🌸</t>
  </si>
  <si>
    <t>Этап 3. В зависимости от оценки</t>
  </si>
  <si>
    <t>🔹 Если оценка 4 или 5 (положительная)</t>
  </si>
  <si>
    <t>Текст:</t>
  </si>
  <si>
    <t>Спасибо, что поделились! Нам очень приятно</t>
  </si>
  <si>
    <r>
      <t xml:space="preserve">Если было комфортно и вы хотели бы поддержать наш центр "Время" будем благодарны отзыв </t>
    </r>
    <r>
      <rPr>
        <rFont val="-apple-system, BlinkMacSystemFont, Roboto, system-ui, Avenir, Helvetica, Arial, sans-serif"/>
        <color rgb="FF1155CC"/>
        <sz val="12.0"/>
        <u/>
      </rPr>
      <t>https://yandex.ru/maps/-/CLh2NNKH</t>
    </r>
    <r>
      <rPr>
        <rFont val="-apple-system, BlinkMacSystemFont, Roboto, system-ui, Avenir, Helvetica, Arial, sans-serif"/>
        <color rgb="FF052B3C"/>
        <sz val="12.0"/>
      </rPr>
      <t xml:space="preserve"> В ответ мы дарим скидку 500 ₽ на следующую консультацию. Чтобы активировать скидку, просто пришлите нам скриншот отзыва.</t>
    </r>
  </si>
  <si>
    <t>ССЫЛКА НА ВК И МАХ</t>
  </si>
  <si>
    <t>🔹 Если оценка 3 (средняя / сомнительная)</t>
  </si>
  <si>
    <t>🌿 Спасибо за честную обратную связь! Нам важно, чтобы вам было комфортно. Если захотите рассказать подробнее, что именно было не так или что можно улучшить — мы будем очень благодарны. Это поможет нам стать лучше 🙏</t>
  </si>
  <si>
    <t>Этап 4. Через 1–2 недели (если клиент не вернулся)</t>
  </si>
  <si>
    <t>Цель: мягкое напоминание о себе, предложение вернуться.</t>
  </si>
  <si>
    <t>Текст (от лица центра):</t>
  </si>
  <si>
    <t xml:space="preserve">🌿  Добрый день, x ! Вы были на консультации у Ирины Косьяненко в нашем центре "Время". Если вы сейчас чувствуете, что хотели бы продолжить или вернуться к тому, что обсуждали, - у Ирины есть свободные окошки на воскресенье 29 марта:  📅 [дата] в [время] </t>
  </si>
  <si>
    <t>Если удобно - просто напишите, закрепим.</t>
  </si>
  <si>
    <t>Если не сейчас - будем рады видеть Вас в любое время.</t>
  </si>
  <si>
    <t>Про «через 1–2 недели»</t>
  </si>
  <si>
    <t>Этот пункт можно применять:</t>
  </si>
  <si>
    <t>· ко всем, кто был на консультации, но больше не записывался (не только после отказа);</t>
  </si>
  <si>
    <t>· с разной периодичностью: через 2 недели, через месяц, через 2 месяца.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</si>
</sst>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.m"/>
    <numFmt numFmtId="165" formatCode="dd.mm.yy"/>
    <numFmt numFmtId="166" formatCode="dd.mm"/>
    <numFmt numFmtId="167" formatCode="ddd d mmmm"/>
    <numFmt numFmtId="168" formatCode="dd.mm.yyyy"/>
    <numFmt numFmtId="169" formatCode="d.m.yyyy"/>
    <numFmt numFmtId="170" formatCode="d/m"/>
    <numFmt numFmtId="171" formatCode="dd/mm"/>
  </numFmts>
  <fonts count="40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0.0"/>
      <color theme="1"/>
      <name val="Times New Roman"/>
    </font>
    <font>
      <color theme="1"/>
      <name val="Arial"/>
      <scheme val="minor"/>
    </font>
    <font>
      <sz val="11.0"/>
      <color rgb="FF2B3134"/>
      <name val="Inter"/>
    </font>
    <font>
      <b/>
      <sz val="18.0"/>
      <color rgb="FF7030A0"/>
      <name val="Calibri"/>
    </font>
    <font/>
    <font>
      <sz val="14.0"/>
      <color rgb="FF000000"/>
      <name val="Calibri"/>
    </font>
    <font>
      <sz val="11.0"/>
      <color rgb="FF000000"/>
      <name val="Calibri"/>
    </font>
    <font>
      <b/>
      <sz val="18.0"/>
      <color rgb="FF000000"/>
      <name val="Calibri"/>
    </font>
    <font>
      <b/>
      <sz val="11.0"/>
      <color rgb="FF000000"/>
      <name val="Calibri"/>
    </font>
    <font>
      <sz val="12.0"/>
      <color rgb="FF000000"/>
      <name val="Calibri"/>
    </font>
    <font>
      <color rgb="FF000000"/>
      <name val="Calibri"/>
    </font>
    <font>
      <b/>
      <sz val="11.0"/>
      <color theme="1"/>
      <name val="Calibri"/>
    </font>
    <font>
      <sz val="11.0"/>
      <color theme="1"/>
      <name val="Arial"/>
      <scheme val="minor"/>
    </font>
    <font>
      <b/>
      <sz val="13.0"/>
      <color rgb="FF000000"/>
      <name val="Calibri"/>
    </font>
    <font>
      <sz val="13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rgb="FF000000"/>
      <name val="Calibri"/>
    </font>
    <font>
      <b/>
      <sz val="11.0"/>
      <color rgb="FFC65911"/>
      <name val="Calibri"/>
    </font>
    <font>
      <sz val="11.0"/>
      <color theme="1"/>
      <name val="Calibri"/>
    </font>
    <font>
      <color theme="1"/>
      <name val="Arial"/>
    </font>
    <font>
      <sz val="11.0"/>
      <color rgb="FF2B3134"/>
      <name val="Times New Roman"/>
    </font>
    <font>
      <sz val="11.0"/>
      <color rgb="FF000000"/>
      <name val="Times New Roman"/>
    </font>
    <font>
      <sz val="11.0"/>
      <color rgb="FF71757F"/>
      <name val="Inter"/>
    </font>
    <font>
      <sz val="12.0"/>
      <color theme="1"/>
      <name val="Arial"/>
      <scheme val="minor"/>
    </font>
    <font>
      <b/>
      <i/>
      <sz val="13.0"/>
      <color rgb="FF000000"/>
      <name val="Arial"/>
    </font>
    <font>
      <b/>
      <i/>
      <sz val="13.0"/>
      <color rgb="FF000000"/>
      <name val="Calibri"/>
    </font>
    <font>
      <b/>
      <i/>
      <sz val="13.0"/>
      <color theme="1"/>
      <name val="Arial"/>
      <scheme val="minor"/>
    </font>
    <font>
      <b/>
      <i/>
      <sz val="12.0"/>
      <color theme="1"/>
      <name val="Arial"/>
      <scheme val="minor"/>
    </font>
    <font>
      <b/>
      <i/>
      <sz val="12.0"/>
      <color rgb="FF000000"/>
      <name val="Arial"/>
    </font>
    <font>
      <b/>
      <i/>
      <sz val="11.0"/>
      <color theme="1"/>
      <name val="Arial"/>
      <scheme val="minor"/>
    </font>
    <font>
      <b/>
      <i/>
      <color theme="1"/>
      <name val="Arial"/>
      <scheme val="minor"/>
    </font>
    <font>
      <b/>
      <i/>
      <sz val="11.0"/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  <font>
      <sz val="12.0"/>
      <color rgb="FF052B3C"/>
      <name val="-apple-system"/>
    </font>
    <font>
      <u/>
      <sz val="12.0"/>
      <color rgb="FF052B3C"/>
      <name val="-apple-system"/>
    </font>
  </fonts>
  <fills count="14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0" fontId="3" numFmtId="165" xfId="0" applyAlignment="1" applyBorder="1" applyFont="1" applyNumberFormat="1">
      <alignment horizontal="left" readingOrder="0" shrinkToFit="0" vertical="center" wrapText="1"/>
    </xf>
    <xf borderId="1" fillId="0" fontId="3" numFmtId="166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0" fontId="3" numFmtId="167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166" xfId="0" applyAlignment="1" applyFont="1" applyNumberFormat="1">
      <alignment horizontal="lef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7" numFmtId="0" xfId="0" applyBorder="1" applyFont="1"/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1" fillId="5" fontId="11" numFmtId="168" xfId="0" applyAlignment="1" applyBorder="1" applyFill="1" applyFont="1" applyNumberFormat="1">
      <alignment horizontal="center" readingOrder="0" shrinkToFit="0" vertical="center" wrapText="1"/>
    </xf>
    <xf borderId="1" fillId="5" fontId="11" numFmtId="169" xfId="0" applyAlignment="1" applyBorder="1" applyFont="1" applyNumberFormat="1">
      <alignment horizontal="center" readingOrder="0" shrinkToFit="0" vertical="center" wrapText="1"/>
    </xf>
    <xf borderId="1" fillId="6" fontId="10" numFmtId="165" xfId="0" applyAlignment="1" applyBorder="1" applyFill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6" fillId="0" fontId="7" numFmtId="0" xfId="0" applyBorder="1" applyFont="1"/>
    <xf borderId="1" fillId="0" fontId="4" numFmtId="170" xfId="0" applyAlignment="1" applyBorder="1" applyFont="1" applyNumberForma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4" fillId="0" fontId="7" numFmtId="0" xfId="0" applyBorder="1" applyFont="1"/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0" fillId="0" fontId="14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7" fillId="7" fontId="11" numFmtId="0" xfId="0" applyAlignment="1" applyBorder="1" applyFill="1" applyFont="1">
      <alignment horizontal="center" readingOrder="0" shrinkToFit="0" vertical="center" wrapText="1"/>
    </xf>
    <xf borderId="8" fillId="0" fontId="7" numFmtId="0" xfId="0" applyBorder="1" applyFont="1"/>
    <xf borderId="9" fillId="0" fontId="7" numFmtId="0" xfId="0" applyBorder="1" applyFont="1"/>
    <xf borderId="7" fillId="0" fontId="16" numFmtId="0" xfId="0" applyAlignment="1" applyBorder="1" applyFont="1">
      <alignment horizontal="center" readingOrder="0" shrinkToFit="0" vertical="center" wrapText="1"/>
    </xf>
    <xf borderId="3" fillId="0" fontId="16" numFmtId="0" xfId="0" applyAlignment="1" applyBorder="1" applyFont="1">
      <alignment horizontal="center" readingOrder="0" shrinkToFit="0" vertical="center" wrapText="1"/>
    </xf>
    <xf borderId="1" fillId="5" fontId="16" numFmtId="168" xfId="0" applyAlignment="1" applyBorder="1" applyFont="1" applyNumberFormat="1">
      <alignment horizontal="center" readingOrder="0" shrinkToFit="0" vertical="center" wrapText="1"/>
    </xf>
    <xf borderId="1" fillId="5" fontId="16" numFmtId="169" xfId="0" applyAlignment="1" applyBorder="1" applyFont="1" applyNumberFormat="1">
      <alignment horizontal="center" readingOrder="0" shrinkToFit="0" vertical="center" wrapText="1"/>
    </xf>
    <xf borderId="0" fillId="0" fontId="17" numFmtId="0" xfId="0" applyAlignment="1" applyFont="1">
      <alignment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0" fontId="9" numFmtId="170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1" fillId="0" fontId="15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8" fontId="18" numFmtId="0" xfId="0" applyAlignment="1" applyFill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vertical="center"/>
    </xf>
    <xf borderId="0" fillId="9" fontId="19" numFmtId="0" xfId="0" applyAlignment="1" applyFill="1" applyFont="1">
      <alignment horizontal="center" readingOrder="0" shrinkToFit="0" vertical="center" wrapText="0"/>
    </xf>
    <xf borderId="1" fillId="9" fontId="19" numFmtId="0" xfId="0" applyAlignment="1" applyBorder="1" applyFont="1">
      <alignment horizontal="center" readingOrder="0" shrinkToFit="0" vertical="center" wrapText="0"/>
    </xf>
    <xf borderId="1" fillId="10" fontId="19" numFmtId="0" xfId="0" applyAlignment="1" applyBorder="1" applyFill="1" applyFont="1">
      <alignment horizontal="center" readingOrder="0" shrinkToFit="0" vertical="center" wrapText="0"/>
    </xf>
    <xf borderId="1" fillId="11" fontId="19" numFmtId="0" xfId="0" applyAlignment="1" applyBorder="1" applyFill="1" applyFont="1">
      <alignment horizontal="center" readingOrder="0" shrinkToFit="0" vertical="center" wrapText="1"/>
    </xf>
    <xf borderId="1" fillId="11" fontId="19" numFmtId="0" xfId="0" applyAlignment="1" applyBorder="1" applyFont="1">
      <alignment horizontal="center" readingOrder="0" shrinkToFit="0" vertical="center" wrapText="0"/>
    </xf>
    <xf borderId="1" fillId="0" fontId="19" numFmtId="0" xfId="0" applyAlignment="1" applyBorder="1" applyFont="1">
      <alignment horizontal="center" readingOrder="0" shrinkToFit="0" vertical="center" wrapText="0"/>
    </xf>
    <xf borderId="1" fillId="0" fontId="9" numFmtId="168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0" fillId="0" fontId="9" numFmtId="168" xfId="0" applyAlignment="1" applyFont="1" applyNumberFormat="1">
      <alignment horizontal="center" readingOrder="0" shrinkToFit="0" vertical="center" wrapText="0"/>
    </xf>
    <xf borderId="1" fillId="4" fontId="9" numFmtId="0" xfId="0" applyAlignment="1" applyBorder="1" applyFont="1">
      <alignment horizontal="center" readingOrder="0" shrinkToFit="0" vertical="center" wrapText="0"/>
    </xf>
    <xf borderId="0" fillId="4" fontId="4" numFmtId="0" xfId="0" applyAlignment="1" applyFont="1">
      <alignment horizontal="center" vertical="center"/>
    </xf>
    <xf borderId="1" fillId="0" fontId="20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0" fillId="9" fontId="16" numFmtId="0" xfId="0" applyAlignment="1" applyFont="1">
      <alignment horizontal="center" readingOrder="0" shrinkToFit="0" vertical="center" wrapText="0"/>
    </xf>
    <xf borderId="1" fillId="9" fontId="16" numFmtId="0" xfId="0" applyAlignment="1" applyBorder="1" applyFont="1">
      <alignment horizontal="center" readingOrder="0" shrinkToFit="0" vertical="center" wrapText="0"/>
    </xf>
    <xf borderId="1" fillId="9" fontId="16" numFmtId="0" xfId="0" applyAlignment="1" applyBorder="1" applyFont="1">
      <alignment horizontal="center" readingOrder="0" shrinkToFit="0" vertical="center" wrapText="1"/>
    </xf>
    <xf borderId="1" fillId="0" fontId="9" numFmtId="166" xfId="0" applyAlignment="1" applyBorder="1" applyFont="1" applyNumberFormat="1">
      <alignment horizontal="center" readingOrder="0" shrinkToFit="0" vertical="center" wrapText="0"/>
    </xf>
    <xf borderId="0" fillId="0" fontId="9" numFmtId="166" xfId="0" applyAlignment="1" applyFont="1" applyNumberFormat="1">
      <alignment horizontal="center" readingOrder="0" shrinkToFit="0" vertical="center" wrapText="0"/>
    </xf>
    <xf borderId="9" fillId="0" fontId="9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shrinkToFit="0" vertical="center" wrapText="0"/>
    </xf>
    <xf borderId="9" fillId="0" fontId="9" numFmtId="0" xfId="0" applyAlignment="1" applyBorder="1" applyFont="1">
      <alignment horizontal="center" readingOrder="0" shrinkToFit="0" vertical="center" wrapText="0"/>
    </xf>
    <xf borderId="9" fillId="0" fontId="9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readingOrder="0" vertical="center"/>
    </xf>
    <xf borderId="9" fillId="0" fontId="21" numFmtId="0" xfId="0" applyAlignment="1" applyBorder="1" applyFont="1">
      <alignment horizontal="center" shrinkToFit="0" wrapText="1"/>
    </xf>
    <xf borderId="1" fillId="7" fontId="1" numFmtId="0" xfId="0" applyAlignment="1" applyBorder="1" applyFont="1">
      <alignment horizontal="center" readingOrder="0" vertical="center"/>
    </xf>
    <xf borderId="1" fillId="7" fontId="18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/>
    </xf>
    <xf borderId="1" fillId="0" fontId="22" numFmtId="0" xfId="0" applyBorder="1" applyFont="1"/>
    <xf borderId="1" fillId="0" fontId="2" numFmtId="0" xfId="0" applyAlignment="1" applyBorder="1" applyFont="1">
      <alignment horizontal="center" readingOrder="0"/>
    </xf>
    <xf borderId="1" fillId="12" fontId="2" numFmtId="164" xfId="0" applyAlignment="1" applyBorder="1" applyFill="1" applyFont="1" applyNumberFormat="1">
      <alignment horizontal="center" readingOrder="0" shrinkToFit="0" vertical="center" wrapText="1"/>
    </xf>
    <xf borderId="1" fillId="12" fontId="2" numFmtId="0" xfId="0" applyAlignment="1" applyBorder="1" applyFont="1">
      <alignment horizontal="center" readingOrder="0"/>
    </xf>
    <xf borderId="1" fillId="12" fontId="22" numFmtId="0" xfId="0" applyAlignment="1" applyBorder="1" applyFont="1">
      <alignment readingOrder="0"/>
    </xf>
    <xf borderId="0" fillId="4" fontId="23" numFmtId="0" xfId="0" applyAlignment="1" applyFont="1">
      <alignment readingOrder="0"/>
    </xf>
    <xf borderId="1" fillId="0" fontId="2" numFmtId="164" xfId="0" applyAlignment="1" applyBorder="1" applyFont="1" applyNumberFormat="1">
      <alignment horizontal="center" readingOrder="0"/>
    </xf>
    <xf borderId="1" fillId="0" fontId="17" numFmtId="0" xfId="0" applyAlignment="1" applyBorder="1" applyFont="1">
      <alignment horizontal="center"/>
    </xf>
    <xf borderId="1" fillId="0" fontId="2" numFmtId="166" xfId="0" applyAlignment="1" applyBorder="1" applyFont="1" applyNumberFormat="1">
      <alignment horizontal="center" readingOrder="0"/>
    </xf>
    <xf borderId="1" fillId="0" fontId="24" numFmtId="0" xfId="0" applyAlignment="1" applyBorder="1" applyFont="1">
      <alignment horizontal="left" readingOrder="0" shrinkToFit="0" vertical="center" wrapText="1"/>
    </xf>
    <xf borderId="1" fillId="0" fontId="2" numFmtId="171" xfId="0" applyAlignment="1" applyBorder="1" applyFont="1" applyNumberFormat="1">
      <alignment horizontal="center" readingOrder="0"/>
    </xf>
    <xf borderId="0" fillId="4" fontId="25" numFmtId="0" xfId="0" applyAlignment="1" applyFont="1">
      <alignment readingOrder="0"/>
    </xf>
    <xf borderId="0" fillId="0" fontId="2" numFmtId="0" xfId="0" applyFont="1"/>
    <xf borderId="0" fillId="0" fontId="26" numFmtId="0" xfId="0" applyFont="1"/>
    <xf borderId="0" fillId="4" fontId="26" numFmtId="0" xfId="0" applyAlignment="1" applyFont="1">
      <alignment horizontal="center" readingOrder="0"/>
    </xf>
    <xf borderId="0" fillId="4" fontId="4" numFmtId="0" xfId="0" applyFont="1"/>
    <xf borderId="1" fillId="10" fontId="26" numFmtId="0" xfId="0" applyAlignment="1" applyBorder="1" applyFont="1">
      <alignment horizontal="center" readingOrder="0"/>
    </xf>
    <xf borderId="1" fillId="4" fontId="27" numFmtId="0" xfId="0" applyAlignment="1" applyBorder="1" applyFont="1">
      <alignment horizontal="center" readingOrder="0" shrinkToFit="0" wrapText="0"/>
    </xf>
    <xf borderId="1" fillId="4" fontId="27" numFmtId="20" xfId="0" applyAlignment="1" applyBorder="1" applyFont="1" applyNumberFormat="1">
      <alignment horizontal="center" readingOrder="0" shrinkToFit="0" wrapText="0"/>
    </xf>
    <xf borderId="1" fillId="0" fontId="28" numFmtId="0" xfId="0" applyAlignment="1" applyBorder="1" applyFont="1">
      <alignment horizontal="center" readingOrder="0" shrinkToFit="0" vertical="bottom" wrapText="0"/>
    </xf>
    <xf borderId="1" fillId="4" fontId="27" numFmtId="0" xfId="0" applyAlignment="1" applyBorder="1" applyFont="1">
      <alignment horizontal="center" readingOrder="0" shrinkToFit="0" vertical="bottom" wrapText="0"/>
    </xf>
    <xf borderId="1" fillId="0" fontId="28" numFmtId="20" xfId="0" applyAlignment="1" applyBorder="1" applyFont="1" applyNumberFormat="1">
      <alignment horizontal="center" readingOrder="0" shrinkToFit="0" vertical="bottom" wrapText="0"/>
    </xf>
    <xf borderId="1" fillId="0" fontId="28" numFmtId="0" xfId="0" applyAlignment="1" applyBorder="1" applyFont="1">
      <alignment horizontal="center" readingOrder="0" shrinkToFit="0" wrapText="0"/>
    </xf>
    <xf borderId="1" fillId="0" fontId="29" numFmtId="0" xfId="0" applyAlignment="1" applyBorder="1" applyFont="1">
      <alignment horizontal="center" readingOrder="0"/>
    </xf>
    <xf borderId="1" fillId="0" fontId="29" numFmtId="20" xfId="0" applyAlignment="1" applyBorder="1" applyFont="1" applyNumberFormat="1">
      <alignment horizontal="center" readingOrder="0"/>
    </xf>
    <xf borderId="1" fillId="4" fontId="27" numFmtId="0" xfId="0" applyAlignment="1" applyBorder="1" applyFont="1">
      <alignment horizontal="center" readingOrder="0"/>
    </xf>
    <xf borderId="2" fillId="0" fontId="27" numFmtId="0" xfId="0" applyAlignment="1" applyBorder="1" applyFont="1">
      <alignment readingOrder="0" shrinkToFit="0" wrapText="0"/>
    </xf>
    <xf borderId="1" fillId="0" fontId="30" numFmtId="166" xfId="0" applyAlignment="1" applyBorder="1" applyFont="1" applyNumberFormat="1">
      <alignment horizontal="center" readingOrder="0"/>
    </xf>
    <xf borderId="1" fillId="0" fontId="30" numFmtId="20" xfId="0" applyAlignment="1" applyBorder="1" applyFont="1" applyNumberFormat="1">
      <alignment horizontal="center" readingOrder="0"/>
    </xf>
    <xf borderId="1" fillId="0" fontId="30" numFmtId="0" xfId="0" applyAlignment="1" applyBorder="1" applyFont="1">
      <alignment horizontal="center" readingOrder="0"/>
    </xf>
    <xf borderId="3" fillId="0" fontId="31" numFmtId="0" xfId="0" applyAlignment="1" applyBorder="1" applyFont="1">
      <alignment horizontal="center" readingOrder="0" vertical="bottom"/>
    </xf>
    <xf borderId="1" fillId="0" fontId="31" numFmtId="0" xfId="0" applyAlignment="1" applyBorder="1" applyFont="1">
      <alignment horizontal="center" readingOrder="0" shrinkToFit="0" vertical="bottom" wrapText="0"/>
    </xf>
    <xf borderId="1" fillId="0" fontId="4" numFmtId="0" xfId="0" applyBorder="1" applyFont="1"/>
    <xf borderId="1" fillId="13" fontId="26" numFmtId="0" xfId="0" applyAlignment="1" applyBorder="1" applyFill="1" applyFont="1">
      <alignment horizontal="center" readingOrder="0"/>
    </xf>
    <xf borderId="1" fillId="0" fontId="30" numFmtId="0" xfId="0" applyAlignment="1" applyBorder="1" applyFont="1">
      <alignment horizontal="left" readingOrder="0"/>
    </xf>
    <xf borderId="1" fillId="0" fontId="32" numFmtId="168" xfId="0" applyAlignment="1" applyBorder="1" applyFont="1" applyNumberFormat="1">
      <alignment horizontal="center" readingOrder="0"/>
    </xf>
    <xf borderId="1" fillId="0" fontId="32" numFmtId="20" xfId="0" applyAlignment="1" applyBorder="1" applyFont="1" applyNumberFormat="1">
      <alignment horizontal="center" readingOrder="0"/>
    </xf>
    <xf borderId="1" fillId="0" fontId="32" numFmtId="0" xfId="0" applyAlignment="1" applyBorder="1" applyFont="1">
      <alignment readingOrder="0"/>
    </xf>
    <xf borderId="1" fillId="0" fontId="33" numFmtId="20" xfId="0" applyAlignment="1" applyBorder="1" applyFont="1" applyNumberFormat="1">
      <alignment horizontal="center" readingOrder="0"/>
    </xf>
    <xf borderId="3" fillId="0" fontId="34" numFmtId="0" xfId="0" applyAlignment="1" applyBorder="1" applyFont="1">
      <alignment readingOrder="0" vertical="bottom"/>
    </xf>
    <xf borderId="1" fillId="0" fontId="30" numFmtId="0" xfId="0" applyAlignment="1" applyBorder="1" applyFont="1">
      <alignment horizontal="center"/>
    </xf>
    <xf borderId="1" fillId="0" fontId="30" numFmtId="0" xfId="0" applyBorder="1" applyFont="1"/>
    <xf borderId="1" fillId="0" fontId="32" numFmtId="168" xfId="0" applyAlignment="1" applyBorder="1" applyFont="1" applyNumberFormat="1">
      <alignment readingOrder="0"/>
    </xf>
    <xf borderId="1" fillId="0" fontId="32" numFmtId="20" xfId="0" applyAlignment="1" applyBorder="1" applyFont="1" applyNumberFormat="1">
      <alignment readingOrder="0"/>
    </xf>
    <xf borderId="1" fillId="6" fontId="35" numFmtId="0" xfId="0" applyAlignment="1" applyBorder="1" applyFont="1">
      <alignment horizontal="center" readingOrder="0" shrinkToFit="0" vertical="center" wrapText="1"/>
    </xf>
    <xf borderId="1" fillId="6" fontId="35" numFmtId="0" xfId="0" applyAlignment="1" applyBorder="1" applyFont="1">
      <alignment horizontal="center" readingOrder="0" vertical="center"/>
    </xf>
    <xf borderId="0" fillId="0" fontId="35" numFmtId="0" xfId="0" applyAlignment="1" applyFont="1">
      <alignment vertical="center"/>
    </xf>
    <xf borderId="0" fillId="0" fontId="35" numFmtId="0" xfId="0" applyAlignment="1" applyFont="1">
      <alignment readingOrder="0" vertical="center"/>
    </xf>
    <xf borderId="1" fillId="0" fontId="15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1" fillId="0" fontId="15" numFmtId="0" xfId="0" applyAlignment="1" applyBorder="1" applyFont="1">
      <alignment horizontal="center" vertical="center"/>
    </xf>
    <xf borderId="0" fillId="6" fontId="35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vertical="center"/>
    </xf>
    <xf borderId="1" fillId="0" fontId="36" numFmtId="0" xfId="0" applyAlignment="1" applyBorder="1" applyFont="1">
      <alignment readingOrder="0" vertical="center"/>
    </xf>
    <xf borderId="1" fillId="0" fontId="37" numFmtId="0" xfId="0" applyAlignment="1" applyBorder="1" applyFont="1">
      <alignment readingOrder="0" vertical="center"/>
    </xf>
    <xf borderId="0" fillId="4" fontId="38" numFmtId="0" xfId="0" applyAlignment="1" applyFont="1">
      <alignment readingOrder="0" vertical="top"/>
    </xf>
    <xf borderId="0" fillId="4" fontId="39" numFmtId="0" xfId="0" applyAlignment="1" applyFont="1">
      <alignment readingOrder="0" vertical="top"/>
    </xf>
    <xf borderId="0" fillId="1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yandex.ru/i/gVXMccQFLYWd0w" TargetMode="External"/><Relationship Id="rId2" Type="http://schemas.openxmlformats.org/officeDocument/2006/relationships/hyperlink" Target="https://disk.yandex.ru/i/X1brNqSAGvzqyA" TargetMode="External"/><Relationship Id="rId3" Type="http://schemas.openxmlformats.org/officeDocument/2006/relationships/hyperlink" Target="https://disk.yandex.ru/i/0hVMCYfm_LY2MQ" TargetMode="External"/><Relationship Id="rId4" Type="http://schemas.openxmlformats.org/officeDocument/2006/relationships/hyperlink" Target="https://disk.yandex.ru/i/9mT1w2NxxFs2cg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yandex.ru/maps/-/CLh2NNKH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38"/>
    <col customWidth="1" min="3" max="3" width="11.38"/>
    <col customWidth="1" min="4" max="4" width="11.25"/>
    <col customWidth="1" min="5" max="5" width="10.75"/>
    <col customWidth="1" min="6" max="6" width="41.63"/>
    <col customWidth="1" min="7" max="7" width="19.75"/>
    <col customWidth="1" min="8" max="8" width="23.0"/>
    <col customWidth="1" min="10" max="10" width="12.5"/>
  </cols>
  <sheetData>
    <row r="1" ht="51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12</v>
      </c>
      <c r="B2" s="6">
        <v>46014.0</v>
      </c>
      <c r="C2" s="5" t="s">
        <v>13</v>
      </c>
      <c r="D2" s="5">
        <v>8.9850698989E10</v>
      </c>
      <c r="E2" s="5" t="s">
        <v>14</v>
      </c>
      <c r="F2" s="5" t="s">
        <v>15</v>
      </c>
      <c r="G2" s="5" t="s">
        <v>16</v>
      </c>
      <c r="H2" s="5" t="s">
        <v>17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idden="1">
      <c r="A3" s="5" t="s">
        <v>12</v>
      </c>
      <c r="B3" s="6">
        <v>46014.0</v>
      </c>
      <c r="C3" s="5" t="s">
        <v>18</v>
      </c>
      <c r="D3" s="5">
        <v>9.261563071E9</v>
      </c>
      <c r="E3" s="5" t="s">
        <v>14</v>
      </c>
      <c r="F3" s="5" t="s">
        <v>19</v>
      </c>
      <c r="G3" s="5" t="s">
        <v>20</v>
      </c>
      <c r="H3" s="5" t="s">
        <v>21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idden="1">
      <c r="A4" s="5" t="s">
        <v>12</v>
      </c>
      <c r="B4" s="6">
        <v>46017.0</v>
      </c>
      <c r="C4" s="5" t="s">
        <v>22</v>
      </c>
      <c r="D4" s="5">
        <v>8.9175911166E10</v>
      </c>
      <c r="E4" s="5" t="s">
        <v>14</v>
      </c>
      <c r="F4" s="5" t="s">
        <v>23</v>
      </c>
      <c r="G4" s="5" t="s">
        <v>24</v>
      </c>
      <c r="H4" s="5" t="s">
        <v>25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5" t="s">
        <v>26</v>
      </c>
      <c r="B5" s="8">
        <v>46032.0</v>
      </c>
      <c r="C5" s="5" t="s">
        <v>27</v>
      </c>
      <c r="D5" s="5">
        <v>9.166132652E9</v>
      </c>
      <c r="E5" s="5" t="s">
        <v>14</v>
      </c>
      <c r="F5" s="5" t="s">
        <v>28</v>
      </c>
      <c r="G5" s="5" t="s">
        <v>29</v>
      </c>
      <c r="H5" s="5" t="s">
        <v>30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idden="1">
      <c r="A6" s="5" t="s">
        <v>26</v>
      </c>
      <c r="B6" s="9">
        <v>46034.0</v>
      </c>
      <c r="C6" s="5" t="s">
        <v>31</v>
      </c>
      <c r="D6" s="5" t="s">
        <v>32</v>
      </c>
      <c r="E6" s="5" t="s">
        <v>14</v>
      </c>
      <c r="F6" s="5" t="s">
        <v>33</v>
      </c>
      <c r="G6" s="5" t="s">
        <v>24</v>
      </c>
      <c r="H6" s="5" t="s">
        <v>34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idden="1">
      <c r="A7" s="5" t="s">
        <v>26</v>
      </c>
      <c r="B7" s="9">
        <v>46036.0</v>
      </c>
      <c r="C7" s="5" t="s">
        <v>35</v>
      </c>
      <c r="D7" s="5">
        <v>7.995543913E10</v>
      </c>
      <c r="E7" s="5" t="s">
        <v>14</v>
      </c>
      <c r="F7" s="5" t="s">
        <v>36</v>
      </c>
      <c r="G7" s="10"/>
      <c r="H7" s="5" t="s">
        <v>37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idden="1">
      <c r="A8" s="5" t="s">
        <v>26</v>
      </c>
      <c r="B8" s="9">
        <v>46038.0</v>
      </c>
      <c r="C8" s="5" t="s">
        <v>38</v>
      </c>
      <c r="D8" s="10">
        <f>79771423167</f>
        <v>79771423167</v>
      </c>
      <c r="E8" s="5" t="s">
        <v>14</v>
      </c>
      <c r="F8" s="5" t="s">
        <v>39</v>
      </c>
      <c r="G8" s="5" t="s">
        <v>40</v>
      </c>
      <c r="H8" s="5" t="s">
        <v>30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idden="1">
      <c r="A9" s="5" t="s">
        <v>26</v>
      </c>
      <c r="B9" s="9">
        <v>46038.0</v>
      </c>
      <c r="C9" s="5" t="s">
        <v>41</v>
      </c>
      <c r="D9" s="5" t="s">
        <v>42</v>
      </c>
      <c r="E9" s="5" t="s">
        <v>14</v>
      </c>
      <c r="F9" s="5" t="s">
        <v>43</v>
      </c>
      <c r="G9" s="5" t="s">
        <v>44</v>
      </c>
      <c r="H9" s="5" t="s">
        <v>30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idden="1">
      <c r="A10" s="5" t="s">
        <v>26</v>
      </c>
      <c r="B10" s="9">
        <v>46041.0</v>
      </c>
      <c r="C10" s="5" t="s">
        <v>45</v>
      </c>
      <c r="D10" s="5">
        <v>7.905580123E10</v>
      </c>
      <c r="E10" s="5" t="s">
        <v>14</v>
      </c>
      <c r="F10" s="5" t="s">
        <v>46</v>
      </c>
      <c r="G10" s="5" t="s">
        <v>44</v>
      </c>
      <c r="H10" s="5" t="s">
        <v>47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idden="1">
      <c r="A11" s="5" t="s">
        <v>26</v>
      </c>
      <c r="B11" s="9">
        <v>46041.0</v>
      </c>
      <c r="C11" s="5" t="s">
        <v>48</v>
      </c>
      <c r="D11" s="5">
        <v>8.9164801215E10</v>
      </c>
      <c r="E11" s="5" t="s">
        <v>14</v>
      </c>
      <c r="F11" s="5" t="s">
        <v>49</v>
      </c>
      <c r="G11" s="5" t="s">
        <v>50</v>
      </c>
      <c r="H11" s="5" t="s">
        <v>51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idden="1">
      <c r="A12" s="5" t="s">
        <v>26</v>
      </c>
      <c r="B12" s="9">
        <v>46042.0</v>
      </c>
      <c r="C12" s="5" t="s">
        <v>52</v>
      </c>
      <c r="D12" s="10">
        <f>79164697098</f>
        <v>79164697098</v>
      </c>
      <c r="E12" s="5" t="s">
        <v>14</v>
      </c>
      <c r="F12" s="5" t="s">
        <v>53</v>
      </c>
      <c r="G12" s="5" t="s">
        <v>54</v>
      </c>
      <c r="H12" s="5" t="s">
        <v>47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idden="1">
      <c r="A13" s="5" t="s">
        <v>26</v>
      </c>
      <c r="B13" s="9">
        <v>46042.0</v>
      </c>
      <c r="C13" s="5" t="s">
        <v>55</v>
      </c>
      <c r="D13" s="10">
        <f>79161448115</f>
        <v>79161448115</v>
      </c>
      <c r="E13" s="5" t="s">
        <v>14</v>
      </c>
      <c r="F13" s="5" t="s">
        <v>56</v>
      </c>
      <c r="G13" s="5" t="s">
        <v>57</v>
      </c>
      <c r="H13" s="5" t="s">
        <v>58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idden="1">
      <c r="A14" s="5" t="s">
        <v>26</v>
      </c>
      <c r="B14" s="9">
        <v>46044.0</v>
      </c>
      <c r="C14" s="5" t="s">
        <v>59</v>
      </c>
      <c r="D14" s="5">
        <v>7.925295092E10</v>
      </c>
      <c r="E14" s="5" t="s">
        <v>14</v>
      </c>
      <c r="F14" s="10"/>
      <c r="G14" s="5" t="s">
        <v>60</v>
      </c>
      <c r="H14" s="5" t="s">
        <v>51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idden="1">
      <c r="A15" s="5" t="s">
        <v>26</v>
      </c>
      <c r="B15" s="9">
        <v>46044.0</v>
      </c>
      <c r="C15" s="5" t="s">
        <v>48</v>
      </c>
      <c r="D15" s="5">
        <v>7.9852984874E10</v>
      </c>
      <c r="E15" s="5" t="s">
        <v>14</v>
      </c>
      <c r="F15" s="5" t="s">
        <v>61</v>
      </c>
      <c r="G15" s="5" t="s">
        <v>62</v>
      </c>
      <c r="H15" s="5" t="s">
        <v>51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idden="1">
      <c r="A16" s="5" t="s">
        <v>26</v>
      </c>
      <c r="B16" s="9">
        <v>46046.0</v>
      </c>
      <c r="C16" s="5" t="s">
        <v>63</v>
      </c>
      <c r="D16" s="5">
        <v>7.9166759653E10</v>
      </c>
      <c r="E16" s="5" t="s">
        <v>14</v>
      </c>
      <c r="F16" s="5" t="s">
        <v>64</v>
      </c>
      <c r="G16" s="5" t="s">
        <v>65</v>
      </c>
      <c r="H16" s="5" t="s">
        <v>30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idden="1">
      <c r="A17" s="5" t="s">
        <v>26</v>
      </c>
      <c r="B17" s="9">
        <v>46048.0</v>
      </c>
      <c r="C17" s="5" t="s">
        <v>48</v>
      </c>
      <c r="D17" s="5">
        <v>8.92672691E9</v>
      </c>
      <c r="E17" s="5" t="s">
        <v>14</v>
      </c>
      <c r="F17" s="5" t="s">
        <v>66</v>
      </c>
      <c r="G17" s="5" t="s">
        <v>67</v>
      </c>
      <c r="H17" s="5" t="s">
        <v>30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idden="1">
      <c r="A18" s="5" t="s">
        <v>26</v>
      </c>
      <c r="B18" s="9">
        <v>46048.0</v>
      </c>
      <c r="C18" s="5" t="s">
        <v>68</v>
      </c>
      <c r="D18" s="5">
        <v>8.9853374967E10</v>
      </c>
      <c r="E18" s="5" t="s">
        <v>14</v>
      </c>
      <c r="F18" s="5" t="s">
        <v>69</v>
      </c>
      <c r="G18" s="5" t="s">
        <v>70</v>
      </c>
      <c r="H18" s="5" t="s">
        <v>25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idden="1">
      <c r="A19" s="5" t="s">
        <v>26</v>
      </c>
      <c r="B19" s="9">
        <v>46050.0</v>
      </c>
      <c r="C19" s="5" t="s">
        <v>41</v>
      </c>
      <c r="D19" s="5">
        <v>7.9268820718E10</v>
      </c>
      <c r="E19" s="5" t="s">
        <v>71</v>
      </c>
      <c r="F19" s="5" t="s">
        <v>72</v>
      </c>
      <c r="G19" s="5" t="s">
        <v>73</v>
      </c>
      <c r="H19" s="5" t="s">
        <v>33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idden="1">
      <c r="A20" s="5" t="s">
        <v>26</v>
      </c>
      <c r="B20" s="9">
        <v>46052.0</v>
      </c>
      <c r="C20" s="5" t="s">
        <v>74</v>
      </c>
      <c r="D20" s="5">
        <v>8.9037914695E10</v>
      </c>
      <c r="E20" s="5" t="s">
        <v>75</v>
      </c>
      <c r="F20" s="5" t="s">
        <v>76</v>
      </c>
      <c r="G20" s="5" t="s">
        <v>77</v>
      </c>
      <c r="H20" s="5" t="s">
        <v>78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idden="1">
      <c r="A21" s="5" t="s">
        <v>26</v>
      </c>
      <c r="B21" s="9">
        <v>46053.0</v>
      </c>
      <c r="C21" s="5" t="s">
        <v>38</v>
      </c>
      <c r="D21" s="5">
        <v>8.968634132E10</v>
      </c>
      <c r="E21" s="5" t="s">
        <v>79</v>
      </c>
      <c r="F21" s="5" t="s">
        <v>80</v>
      </c>
      <c r="G21" s="5" t="s">
        <v>81</v>
      </c>
      <c r="H21" s="5" t="s">
        <v>25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5" t="s">
        <v>82</v>
      </c>
      <c r="B22" s="9">
        <v>46054.0</v>
      </c>
      <c r="C22" s="5" t="s">
        <v>83</v>
      </c>
      <c r="D22" s="10"/>
      <c r="E22" s="5" t="s">
        <v>79</v>
      </c>
      <c r="F22" s="5" t="s">
        <v>84</v>
      </c>
      <c r="G22" s="5" t="s">
        <v>85</v>
      </c>
      <c r="H22" s="5" t="s">
        <v>51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idden="1">
      <c r="A23" s="5" t="s">
        <v>82</v>
      </c>
      <c r="B23" s="9">
        <v>46056.0</v>
      </c>
      <c r="C23" s="5" t="s">
        <v>86</v>
      </c>
      <c r="D23" s="5">
        <v>8.9648720729E10</v>
      </c>
      <c r="E23" s="10"/>
      <c r="F23" s="5" t="s">
        <v>87</v>
      </c>
      <c r="G23" s="5"/>
      <c r="H23" s="5" t="s">
        <v>51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idden="1">
      <c r="A24" s="5" t="s">
        <v>82</v>
      </c>
      <c r="B24" s="9">
        <v>46056.0</v>
      </c>
      <c r="C24" s="5" t="s">
        <v>18</v>
      </c>
      <c r="D24" s="5">
        <v>8.9017870505E10</v>
      </c>
      <c r="E24" s="5" t="s">
        <v>79</v>
      </c>
      <c r="F24" s="5" t="s">
        <v>88</v>
      </c>
      <c r="G24" s="5" t="s">
        <v>81</v>
      </c>
      <c r="H24" s="5" t="s">
        <v>89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idden="1">
      <c r="A25" s="5" t="s">
        <v>82</v>
      </c>
      <c r="B25" s="9">
        <v>46057.0</v>
      </c>
      <c r="C25" s="5" t="s">
        <v>90</v>
      </c>
      <c r="D25" s="5">
        <v>8.915487735E10</v>
      </c>
      <c r="E25" s="5" t="s">
        <v>75</v>
      </c>
      <c r="F25" s="5" t="s">
        <v>91</v>
      </c>
      <c r="G25" s="5" t="s">
        <v>92</v>
      </c>
      <c r="H25" s="5" t="s">
        <v>93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idden="1">
      <c r="A26" s="5" t="s">
        <v>82</v>
      </c>
      <c r="B26" s="9">
        <v>46057.0</v>
      </c>
      <c r="C26" s="5" t="s">
        <v>94</v>
      </c>
      <c r="D26" s="5">
        <v>8.9774732562E10</v>
      </c>
      <c r="E26" s="5" t="s">
        <v>75</v>
      </c>
      <c r="F26" s="5" t="s">
        <v>95</v>
      </c>
      <c r="G26" s="5" t="s">
        <v>92</v>
      </c>
      <c r="H26" s="5" t="s">
        <v>96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idden="1">
      <c r="A27" s="5" t="s">
        <v>82</v>
      </c>
      <c r="B27" s="9">
        <v>46061.0</v>
      </c>
      <c r="C27" s="5" t="s">
        <v>97</v>
      </c>
      <c r="D27" s="5">
        <v>8.9164109797E10</v>
      </c>
      <c r="E27" s="5" t="s">
        <v>79</v>
      </c>
      <c r="F27" s="5" t="s">
        <v>91</v>
      </c>
      <c r="G27" s="5" t="s">
        <v>98</v>
      </c>
      <c r="H27" s="5" t="s">
        <v>93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idden="1">
      <c r="A28" s="5" t="s">
        <v>82</v>
      </c>
      <c r="B28" s="9">
        <v>46062.0</v>
      </c>
      <c r="C28" s="5" t="s">
        <v>99</v>
      </c>
      <c r="D28" s="5">
        <v>8.9057944794E10</v>
      </c>
      <c r="E28" s="5" t="s">
        <v>14</v>
      </c>
      <c r="F28" s="5" t="s">
        <v>100</v>
      </c>
      <c r="G28" s="5" t="s">
        <v>101</v>
      </c>
      <c r="H28" s="5" t="s">
        <v>102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idden="1">
      <c r="A29" s="5" t="s">
        <v>82</v>
      </c>
      <c r="B29" s="9">
        <v>46062.0</v>
      </c>
      <c r="C29" s="5" t="s">
        <v>103</v>
      </c>
      <c r="D29" s="5">
        <v>8.9237225499E10</v>
      </c>
      <c r="E29" s="5" t="s">
        <v>104</v>
      </c>
      <c r="F29" s="5"/>
      <c r="G29" s="5" t="s">
        <v>105</v>
      </c>
      <c r="H29" s="5" t="s">
        <v>106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idden="1">
      <c r="A30" s="5" t="s">
        <v>82</v>
      </c>
      <c r="B30" s="9">
        <v>46062.0</v>
      </c>
      <c r="C30" s="5" t="s">
        <v>107</v>
      </c>
      <c r="D30" s="5">
        <f>79267221363</f>
        <v>79267221363</v>
      </c>
      <c r="E30" s="5" t="s">
        <v>104</v>
      </c>
      <c r="F30" s="5" t="s">
        <v>108</v>
      </c>
      <c r="G30" s="5" t="s">
        <v>109</v>
      </c>
      <c r="H30" s="5" t="s">
        <v>25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idden="1">
      <c r="A31" s="5" t="s">
        <v>82</v>
      </c>
      <c r="B31" s="9">
        <v>46062.0</v>
      </c>
      <c r="C31" s="5" t="s">
        <v>110</v>
      </c>
      <c r="D31" s="5">
        <v>8.9230480502E10</v>
      </c>
      <c r="E31" s="5" t="s">
        <v>75</v>
      </c>
      <c r="F31" s="5" t="s">
        <v>111</v>
      </c>
      <c r="G31" s="5" t="s">
        <v>112</v>
      </c>
      <c r="H31" s="5" t="s">
        <v>113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idden="1">
      <c r="A32" s="5" t="s">
        <v>82</v>
      </c>
      <c r="B32" s="9">
        <v>46064.0</v>
      </c>
      <c r="C32" s="5" t="s">
        <v>114</v>
      </c>
      <c r="D32" s="5">
        <f>79168404701</f>
        <v>79168404701</v>
      </c>
      <c r="E32" s="5" t="s">
        <v>14</v>
      </c>
      <c r="F32" s="5" t="s">
        <v>115</v>
      </c>
      <c r="G32" s="5" t="s">
        <v>116</v>
      </c>
      <c r="H32" s="5" t="s">
        <v>51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idden="1">
      <c r="A33" s="5" t="s">
        <v>82</v>
      </c>
      <c r="B33" s="9">
        <v>46064.0</v>
      </c>
      <c r="C33" s="5" t="s">
        <v>117</v>
      </c>
      <c r="D33" s="5">
        <v>8.9151001557E10</v>
      </c>
      <c r="E33" s="5" t="s">
        <v>75</v>
      </c>
      <c r="F33" s="5" t="s">
        <v>118</v>
      </c>
      <c r="G33" s="5" t="s">
        <v>92</v>
      </c>
      <c r="H33" s="5" t="s">
        <v>119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idden="1">
      <c r="A34" s="5" t="s">
        <v>82</v>
      </c>
      <c r="B34" s="9">
        <v>46067.0</v>
      </c>
      <c r="C34" s="5" t="s">
        <v>90</v>
      </c>
      <c r="D34" s="5">
        <v>7.9092229554E10</v>
      </c>
      <c r="E34" s="5" t="s">
        <v>79</v>
      </c>
      <c r="F34" s="5" t="s">
        <v>120</v>
      </c>
      <c r="G34" s="5"/>
      <c r="H34" s="5" t="s">
        <v>51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idden="1">
      <c r="A35" s="5" t="s">
        <v>82</v>
      </c>
      <c r="B35" s="9">
        <v>46069.0</v>
      </c>
      <c r="C35" s="5" t="s">
        <v>18</v>
      </c>
      <c r="D35" s="5">
        <v>8.9652852233E10</v>
      </c>
      <c r="E35" s="5" t="s">
        <v>75</v>
      </c>
      <c r="F35" s="5" t="s">
        <v>121</v>
      </c>
      <c r="G35" s="5" t="s">
        <v>29</v>
      </c>
      <c r="H35" s="5" t="s">
        <v>122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idden="1">
      <c r="A36" s="5" t="s">
        <v>82</v>
      </c>
      <c r="B36" s="9">
        <v>46066.0</v>
      </c>
      <c r="C36" s="5" t="s">
        <v>123</v>
      </c>
      <c r="D36" s="5">
        <v>8.9689023151E10</v>
      </c>
      <c r="E36" s="5" t="s">
        <v>75</v>
      </c>
      <c r="F36" s="5" t="s">
        <v>124</v>
      </c>
      <c r="G36" s="5" t="s">
        <v>125</v>
      </c>
      <c r="H36" s="5" t="s">
        <v>126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idden="1">
      <c r="A37" s="5" t="s">
        <v>82</v>
      </c>
      <c r="B37" s="9">
        <v>46071.0</v>
      </c>
      <c r="C37" s="5" t="s">
        <v>127</v>
      </c>
      <c r="D37" s="5">
        <v>8.9164962705E10</v>
      </c>
      <c r="E37" s="5" t="s">
        <v>79</v>
      </c>
      <c r="F37" s="5" t="s">
        <v>128</v>
      </c>
      <c r="G37" s="5" t="s">
        <v>29</v>
      </c>
      <c r="H37" s="5" t="s">
        <v>129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idden="1">
      <c r="A38" s="5" t="s">
        <v>82</v>
      </c>
      <c r="B38" s="9">
        <v>46072.0</v>
      </c>
      <c r="C38" s="5" t="s">
        <v>130</v>
      </c>
      <c r="D38" s="5">
        <v>7.9850007421E10</v>
      </c>
      <c r="E38" s="5" t="s">
        <v>79</v>
      </c>
      <c r="F38" s="5" t="s">
        <v>131</v>
      </c>
      <c r="H38" s="5" t="s">
        <v>30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idden="1">
      <c r="A39" s="5" t="s">
        <v>82</v>
      </c>
      <c r="B39" s="9">
        <v>46072.0</v>
      </c>
      <c r="C39" s="5" t="s">
        <v>132</v>
      </c>
      <c r="D39" s="5">
        <v>7.9152758102E10</v>
      </c>
      <c r="E39" s="5" t="s">
        <v>79</v>
      </c>
      <c r="F39" s="5" t="s">
        <v>133</v>
      </c>
      <c r="G39" s="5" t="s">
        <v>29</v>
      </c>
      <c r="H39" s="5" t="s">
        <v>51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idden="1">
      <c r="A40" s="5" t="s">
        <v>82</v>
      </c>
      <c r="B40" s="9">
        <v>46072.0</v>
      </c>
      <c r="C40" s="5" t="s">
        <v>107</v>
      </c>
      <c r="D40" s="5">
        <v>7.9161838584E10</v>
      </c>
      <c r="E40" s="5" t="s">
        <v>134</v>
      </c>
      <c r="F40" s="5" t="s">
        <v>135</v>
      </c>
      <c r="G40" s="5" t="s">
        <v>29</v>
      </c>
      <c r="H40" s="5" t="s">
        <v>51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idden="1">
      <c r="A41" s="5" t="s">
        <v>82</v>
      </c>
      <c r="B41" s="9">
        <v>46072.0</v>
      </c>
      <c r="C41" s="5" t="s">
        <v>136</v>
      </c>
      <c r="D41" s="5">
        <v>7.9777797356E10</v>
      </c>
      <c r="E41" s="5" t="s">
        <v>79</v>
      </c>
      <c r="F41" s="5" t="s">
        <v>137</v>
      </c>
      <c r="G41" s="5" t="s">
        <v>138</v>
      </c>
      <c r="H41" s="5" t="s">
        <v>30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idden="1">
      <c r="A42" s="5" t="s">
        <v>82</v>
      </c>
      <c r="B42" s="9">
        <v>46076.0</v>
      </c>
      <c r="C42" s="5" t="s">
        <v>139</v>
      </c>
      <c r="D42" s="5">
        <v>8.9055543057E10</v>
      </c>
      <c r="E42" s="5" t="s">
        <v>75</v>
      </c>
      <c r="F42" s="5" t="s">
        <v>140</v>
      </c>
      <c r="G42" s="5" t="s">
        <v>141</v>
      </c>
      <c r="H42" s="5" t="s">
        <v>142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idden="1">
      <c r="A43" s="5" t="s">
        <v>82</v>
      </c>
      <c r="B43" s="9">
        <v>46078.0</v>
      </c>
      <c r="C43" s="5" t="s">
        <v>18</v>
      </c>
      <c r="D43" s="5">
        <v>8.9688117387E10</v>
      </c>
      <c r="E43" s="5" t="s">
        <v>75</v>
      </c>
      <c r="F43" s="5" t="s">
        <v>143</v>
      </c>
      <c r="G43" s="5" t="s">
        <v>92</v>
      </c>
      <c r="H43" s="5" t="s">
        <v>78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idden="1">
      <c r="A44" s="5" t="s">
        <v>82</v>
      </c>
      <c r="B44" s="9">
        <v>46078.0</v>
      </c>
      <c r="C44" s="5" t="s">
        <v>144</v>
      </c>
      <c r="D44" s="5">
        <v>8.9371031703E10</v>
      </c>
      <c r="E44" s="5" t="s">
        <v>75</v>
      </c>
      <c r="F44" s="5" t="s">
        <v>145</v>
      </c>
      <c r="G44" s="5" t="s">
        <v>92</v>
      </c>
      <c r="H44" s="5" t="s">
        <v>146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idden="1">
      <c r="A45" s="5" t="s">
        <v>82</v>
      </c>
      <c r="B45" s="9">
        <v>46078.0</v>
      </c>
      <c r="C45" s="5" t="s">
        <v>147</v>
      </c>
      <c r="D45" s="5">
        <v>8.9859686712E10</v>
      </c>
      <c r="E45" s="5" t="s">
        <v>75</v>
      </c>
      <c r="F45" s="5" t="s">
        <v>148</v>
      </c>
      <c r="G45" s="5" t="s">
        <v>149</v>
      </c>
      <c r="H45" s="5" t="s">
        <v>119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idden="1">
      <c r="A46" s="5" t="s">
        <v>82</v>
      </c>
      <c r="B46" s="9">
        <v>46080.0</v>
      </c>
      <c r="C46" s="5" t="s">
        <v>150</v>
      </c>
      <c r="D46" s="5">
        <v>8.9054720373E10</v>
      </c>
      <c r="E46" s="5" t="s">
        <v>79</v>
      </c>
      <c r="F46" s="5" t="s">
        <v>151</v>
      </c>
      <c r="G46" s="5" t="s">
        <v>152</v>
      </c>
      <c r="H46" s="5" t="s">
        <v>153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idden="1">
      <c r="A47" s="5" t="s">
        <v>82</v>
      </c>
      <c r="B47" s="9">
        <v>46080.0</v>
      </c>
      <c r="C47" s="5" t="s">
        <v>132</v>
      </c>
      <c r="D47" s="5" t="s">
        <v>154</v>
      </c>
      <c r="E47" s="5" t="s">
        <v>134</v>
      </c>
      <c r="F47" s="5" t="s">
        <v>155</v>
      </c>
      <c r="G47" s="5" t="s">
        <v>156</v>
      </c>
      <c r="H47" s="5" t="s">
        <v>157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idden="1">
      <c r="A48" s="5" t="s">
        <v>82</v>
      </c>
      <c r="B48" s="9">
        <v>46081.0</v>
      </c>
      <c r="C48" s="5" t="s">
        <v>55</v>
      </c>
      <c r="D48" s="5">
        <f>79252322550</f>
        <v>79252322550</v>
      </c>
      <c r="E48" s="5" t="s">
        <v>79</v>
      </c>
      <c r="F48" s="5" t="s">
        <v>158</v>
      </c>
      <c r="G48" s="5" t="s">
        <v>159</v>
      </c>
      <c r="H48" s="5" t="s">
        <v>51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5" t="s">
        <v>160</v>
      </c>
      <c r="B49" s="9">
        <v>46085.0</v>
      </c>
      <c r="C49" s="5" t="s">
        <v>161</v>
      </c>
      <c r="D49" s="5" t="s">
        <v>162</v>
      </c>
      <c r="E49" s="5" t="s">
        <v>163</v>
      </c>
      <c r="F49" s="5" t="s">
        <v>164</v>
      </c>
      <c r="G49" s="5" t="s">
        <v>165</v>
      </c>
      <c r="H49" s="5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5" t="s">
        <v>160</v>
      </c>
      <c r="B50" s="9">
        <v>46085.0</v>
      </c>
      <c r="C50" s="5" t="s">
        <v>74</v>
      </c>
      <c r="D50" s="5">
        <f>79152047007</f>
        <v>79152047007</v>
      </c>
      <c r="E50" s="5" t="s">
        <v>79</v>
      </c>
      <c r="F50" s="5" t="s">
        <v>140</v>
      </c>
      <c r="G50" s="5" t="s">
        <v>166</v>
      </c>
      <c r="H50" s="5" t="s">
        <v>167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5" t="s">
        <v>160</v>
      </c>
      <c r="B51" s="9">
        <v>46088.0</v>
      </c>
      <c r="C51" s="5" t="s">
        <v>168</v>
      </c>
      <c r="D51" s="5">
        <v>8.9606791872E10</v>
      </c>
      <c r="E51" s="5" t="s">
        <v>79</v>
      </c>
      <c r="F51" s="11" t="s">
        <v>169</v>
      </c>
      <c r="G51" s="5" t="s">
        <v>170</v>
      </c>
      <c r="H51" s="5" t="s">
        <v>171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5" t="s">
        <v>172</v>
      </c>
      <c r="B52" s="9">
        <v>46097.0</v>
      </c>
      <c r="C52" s="5" t="s">
        <v>173</v>
      </c>
      <c r="D52" s="5">
        <v>8.9308781482E10</v>
      </c>
      <c r="E52" s="5" t="s">
        <v>75</v>
      </c>
      <c r="F52" s="5" t="s">
        <v>174</v>
      </c>
      <c r="G52" s="5" t="s">
        <v>175</v>
      </c>
      <c r="H52" s="5" t="s">
        <v>176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5" t="s">
        <v>177</v>
      </c>
      <c r="B53" s="9">
        <v>46097.0</v>
      </c>
      <c r="C53" s="5" t="s">
        <v>178</v>
      </c>
      <c r="D53" s="5">
        <v>8.9267070414E10</v>
      </c>
      <c r="E53" s="5" t="s">
        <v>75</v>
      </c>
      <c r="F53" s="5" t="s">
        <v>179</v>
      </c>
      <c r="G53" s="5" t="s">
        <v>180</v>
      </c>
      <c r="H53" s="5" t="s">
        <v>30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5" t="s">
        <v>181</v>
      </c>
      <c r="B54" s="9">
        <v>46103.0</v>
      </c>
      <c r="C54" s="5" t="s">
        <v>182</v>
      </c>
      <c r="D54" s="5">
        <v>7.903000347E10</v>
      </c>
      <c r="E54" s="5" t="s">
        <v>75</v>
      </c>
      <c r="F54" s="5" t="s">
        <v>183</v>
      </c>
      <c r="G54" s="5" t="s">
        <v>166</v>
      </c>
      <c r="H54" s="5" t="s">
        <v>171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5" t="s">
        <v>181</v>
      </c>
      <c r="B55" s="9">
        <v>46103.0</v>
      </c>
      <c r="C55" s="12" t="s">
        <v>184</v>
      </c>
      <c r="D55" s="5">
        <f>79258413622</f>
        <v>79258413622</v>
      </c>
      <c r="E55" s="5" t="s">
        <v>75</v>
      </c>
      <c r="F55" s="5" t="s">
        <v>185</v>
      </c>
      <c r="G55" s="5"/>
      <c r="H55" s="5" t="s">
        <v>30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5" t="s">
        <v>181</v>
      </c>
      <c r="B56" s="9">
        <v>46105.0</v>
      </c>
      <c r="C56" s="5" t="s">
        <v>139</v>
      </c>
      <c r="D56" s="5">
        <v>7.9998099911E10</v>
      </c>
      <c r="E56" s="5" t="s">
        <v>79</v>
      </c>
      <c r="F56" s="5" t="s">
        <v>186</v>
      </c>
      <c r="G56" s="5" t="s">
        <v>125</v>
      </c>
      <c r="H56" s="5" t="s">
        <v>51</v>
      </c>
      <c r="I56" s="13">
        <v>46114.0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5" t="s">
        <v>181</v>
      </c>
      <c r="B57" s="9">
        <v>46098.0</v>
      </c>
      <c r="C57" s="5" t="s">
        <v>130</v>
      </c>
      <c r="D57" s="5">
        <v>7.9105054027E10</v>
      </c>
      <c r="E57" s="5" t="s">
        <v>79</v>
      </c>
      <c r="F57" s="5"/>
      <c r="G57" s="5"/>
      <c r="H57" s="5" t="s">
        <v>171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5" t="s">
        <v>181</v>
      </c>
      <c r="B58" s="9">
        <v>46098.0</v>
      </c>
      <c r="C58" s="5" t="s">
        <v>187</v>
      </c>
      <c r="D58" s="5">
        <f>79045197626</f>
        <v>79045197626</v>
      </c>
      <c r="E58" s="5" t="s">
        <v>104</v>
      </c>
      <c r="F58" s="5" t="s">
        <v>188</v>
      </c>
      <c r="G58" s="5"/>
      <c r="H58" s="5" t="s">
        <v>30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10"/>
      <c r="B59" s="9"/>
      <c r="C59" s="5" t="s">
        <v>13</v>
      </c>
      <c r="D59" s="5">
        <f>79267070414</f>
        <v>79267070414</v>
      </c>
      <c r="E59" s="5" t="s">
        <v>104</v>
      </c>
      <c r="F59" s="5" t="s">
        <v>189</v>
      </c>
      <c r="G59" s="5"/>
      <c r="H59" s="5" t="s">
        <v>30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5" t="s">
        <v>177</v>
      </c>
      <c r="B60" s="9">
        <v>46097.0</v>
      </c>
      <c r="C60" s="5" t="s">
        <v>107</v>
      </c>
      <c r="D60" s="5">
        <f>79175815853</f>
        <v>79175815853</v>
      </c>
      <c r="E60" s="5" t="s">
        <v>104</v>
      </c>
      <c r="F60" s="5"/>
      <c r="G60" s="5"/>
      <c r="H60" s="5" t="s">
        <v>47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5" t="s">
        <v>177</v>
      </c>
      <c r="B61" s="9">
        <v>46097.0</v>
      </c>
      <c r="C61" s="5" t="s">
        <v>107</v>
      </c>
      <c r="D61" s="5">
        <f>79060923842</f>
        <v>79060923842</v>
      </c>
      <c r="E61" s="5" t="s">
        <v>104</v>
      </c>
      <c r="F61" s="5"/>
      <c r="G61" s="5"/>
      <c r="H61" s="5" t="s">
        <v>30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5"/>
      <c r="B62" s="9"/>
      <c r="C62" s="5"/>
      <c r="D62" s="5"/>
      <c r="E62" s="5"/>
      <c r="F62" s="5"/>
      <c r="G62" s="5"/>
      <c r="H62" s="5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5" t="s">
        <v>177</v>
      </c>
      <c r="B63" s="9">
        <v>46094.0</v>
      </c>
      <c r="C63" s="5" t="s">
        <v>190</v>
      </c>
      <c r="D63" s="5">
        <f>79036888968</f>
        <v>79036888968</v>
      </c>
      <c r="E63" s="5" t="s">
        <v>163</v>
      </c>
      <c r="F63" s="5" t="s">
        <v>191</v>
      </c>
      <c r="G63" s="5" t="s">
        <v>81</v>
      </c>
      <c r="H63" s="5" t="s">
        <v>192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5" t="s">
        <v>177</v>
      </c>
      <c r="B64" s="9">
        <v>46106.0</v>
      </c>
      <c r="C64" s="5" t="s">
        <v>38</v>
      </c>
      <c r="D64" s="5">
        <f>79850558496</f>
        <v>79850558496</v>
      </c>
      <c r="E64" s="5" t="s">
        <v>79</v>
      </c>
      <c r="F64" s="5" t="s">
        <v>193</v>
      </c>
      <c r="G64" s="5" t="s">
        <v>125</v>
      </c>
      <c r="H64" s="5" t="s">
        <v>51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5" t="s">
        <v>177</v>
      </c>
      <c r="B65" s="9">
        <v>46106.0</v>
      </c>
      <c r="C65" s="5" t="s">
        <v>31</v>
      </c>
      <c r="D65" s="5">
        <v>8.9648403303E10</v>
      </c>
      <c r="E65" s="5" t="s">
        <v>163</v>
      </c>
      <c r="F65" s="5" t="s">
        <v>194</v>
      </c>
      <c r="G65" s="5" t="s">
        <v>195</v>
      </c>
      <c r="H65" s="5" t="s">
        <v>51</v>
      </c>
      <c r="I65" s="14" t="s">
        <v>196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5" t="s">
        <v>177</v>
      </c>
      <c r="B66" s="9">
        <v>46108.0</v>
      </c>
      <c r="C66" s="5" t="s">
        <v>31</v>
      </c>
      <c r="D66" s="5">
        <f>79265639769</f>
        <v>79265639769</v>
      </c>
      <c r="E66" s="5" t="s">
        <v>104</v>
      </c>
      <c r="F66" s="5" t="s">
        <v>197</v>
      </c>
      <c r="G66" s="5" t="s">
        <v>198</v>
      </c>
      <c r="H66" s="5" t="s">
        <v>30</v>
      </c>
      <c r="I66" s="15">
        <v>46110.0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5" t="s">
        <v>177</v>
      </c>
      <c r="B67" s="9">
        <v>46108.0</v>
      </c>
      <c r="C67" s="5" t="s">
        <v>199</v>
      </c>
      <c r="D67" s="5">
        <f>79637525077</f>
        <v>79637525077</v>
      </c>
      <c r="E67" s="5" t="s">
        <v>200</v>
      </c>
      <c r="F67" s="5" t="s">
        <v>201</v>
      </c>
      <c r="G67" s="5" t="s">
        <v>29</v>
      </c>
      <c r="H67" s="5" t="s">
        <v>202</v>
      </c>
      <c r="I67" s="15">
        <v>46109.0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5" t="s">
        <v>203</v>
      </c>
      <c r="B68" s="9">
        <v>46109.0</v>
      </c>
      <c r="C68" s="5" t="s">
        <v>204</v>
      </c>
      <c r="D68" s="5">
        <f>+79936028291</f>
        <v>79936028291</v>
      </c>
      <c r="E68" s="5" t="s">
        <v>79</v>
      </c>
      <c r="F68" s="5"/>
      <c r="G68" s="5" t="s">
        <v>205</v>
      </c>
      <c r="H68" s="5" t="s">
        <v>206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10"/>
      <c r="B69" s="9"/>
      <c r="C69" s="5"/>
      <c r="D69" s="5"/>
      <c r="E69" s="5"/>
      <c r="F69" s="5"/>
      <c r="G69" s="5"/>
      <c r="H69" s="5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10"/>
      <c r="B70" s="9"/>
      <c r="C70" s="5"/>
      <c r="D70" s="5"/>
      <c r="E70" s="5"/>
      <c r="F70" s="5"/>
      <c r="G70" s="5"/>
      <c r="H70" s="5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10"/>
      <c r="B71" s="9"/>
      <c r="C71" s="5"/>
      <c r="D71" s="5"/>
      <c r="E71" s="5"/>
      <c r="F71" s="5"/>
      <c r="G71" s="5"/>
      <c r="H71" s="5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10"/>
      <c r="B72" s="9"/>
      <c r="C72" s="5"/>
      <c r="D72" s="5"/>
      <c r="E72" s="5"/>
      <c r="F72" s="5"/>
      <c r="G72" s="5"/>
      <c r="H72" s="5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10"/>
      <c r="B73" s="9"/>
      <c r="C73" s="5"/>
      <c r="D73" s="5"/>
      <c r="E73" s="5"/>
      <c r="F73" s="5"/>
      <c r="G73" s="5"/>
      <c r="H73" s="5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10"/>
      <c r="B74" s="9"/>
      <c r="C74" s="5"/>
      <c r="D74" s="5"/>
      <c r="E74" s="5"/>
      <c r="F74" s="5"/>
      <c r="G74" s="5"/>
      <c r="H74" s="5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10"/>
      <c r="B75" s="9"/>
      <c r="C75" s="5"/>
      <c r="D75" s="5"/>
      <c r="E75" s="5"/>
      <c r="F75" s="5"/>
      <c r="G75" s="5"/>
      <c r="H75" s="5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10"/>
      <c r="B76" s="9"/>
      <c r="C76" s="5"/>
      <c r="D76" s="5"/>
      <c r="E76" s="5"/>
      <c r="F76" s="5"/>
      <c r="G76" s="5"/>
      <c r="H76" s="5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10"/>
      <c r="B77" s="9"/>
      <c r="C77" s="5"/>
      <c r="D77" s="5"/>
      <c r="E77" s="5"/>
      <c r="F77" s="5"/>
      <c r="G77" s="5"/>
      <c r="H77" s="5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"/>
      <c r="B78" s="9"/>
      <c r="C78" s="5"/>
      <c r="D78" s="5"/>
      <c r="E78" s="5"/>
      <c r="F78" s="5"/>
      <c r="G78" s="5"/>
      <c r="H78" s="5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"/>
      <c r="B79" s="9"/>
      <c r="C79" s="5"/>
      <c r="D79" s="5"/>
      <c r="E79" s="5"/>
      <c r="F79" s="5"/>
      <c r="G79" s="5"/>
      <c r="H79" s="5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"/>
      <c r="B80" s="9"/>
      <c r="C80" s="5"/>
      <c r="D80" s="5"/>
      <c r="E80" s="5"/>
      <c r="F80" s="5"/>
      <c r="G80" s="5"/>
      <c r="H80" s="5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0"/>
      <c r="B81" s="9"/>
      <c r="C81" s="5"/>
      <c r="D81" s="5"/>
      <c r="E81" s="5"/>
      <c r="F81" s="5"/>
      <c r="G81" s="5"/>
      <c r="H81" s="5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0"/>
      <c r="B82" s="9"/>
      <c r="C82" s="5"/>
      <c r="D82" s="5"/>
      <c r="E82" s="5"/>
      <c r="F82" s="5"/>
      <c r="G82" s="5"/>
      <c r="H82" s="5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0"/>
      <c r="B83" s="9"/>
      <c r="C83" s="5"/>
      <c r="D83" s="5"/>
      <c r="E83" s="5"/>
      <c r="F83" s="5"/>
      <c r="G83" s="5"/>
      <c r="H83" s="5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0"/>
      <c r="B84" s="9"/>
      <c r="C84" s="5"/>
      <c r="D84" s="5"/>
      <c r="E84" s="5"/>
      <c r="F84" s="5"/>
      <c r="G84" s="5"/>
      <c r="H84" s="5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0"/>
      <c r="B85" s="9"/>
      <c r="C85" s="5"/>
      <c r="D85" s="5"/>
      <c r="E85" s="5"/>
      <c r="F85" s="5"/>
      <c r="G85" s="5"/>
      <c r="H85" s="5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0"/>
      <c r="B86" s="9"/>
      <c r="C86" s="5"/>
      <c r="D86" s="5"/>
      <c r="E86" s="5"/>
      <c r="F86" s="5"/>
      <c r="G86" s="5"/>
      <c r="H86" s="5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0"/>
      <c r="B87" s="9"/>
      <c r="C87" s="5"/>
      <c r="D87" s="5"/>
      <c r="E87" s="5"/>
      <c r="F87" s="5"/>
      <c r="G87" s="5"/>
      <c r="H87" s="5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0"/>
      <c r="B88" s="9"/>
      <c r="C88" s="5"/>
      <c r="D88" s="5"/>
      <c r="E88" s="5"/>
      <c r="F88" s="5"/>
      <c r="G88" s="5"/>
      <c r="H88" s="5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0"/>
      <c r="B89" s="9"/>
      <c r="C89" s="5"/>
      <c r="D89" s="5"/>
      <c r="E89" s="5"/>
      <c r="F89" s="5"/>
      <c r="G89" s="5"/>
      <c r="H89" s="5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0"/>
      <c r="B90" s="9"/>
      <c r="C90" s="5"/>
      <c r="D90" s="5"/>
      <c r="E90" s="5"/>
      <c r="F90" s="5"/>
      <c r="G90" s="5"/>
      <c r="H90" s="5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0"/>
      <c r="B91" s="9"/>
      <c r="C91" s="5"/>
      <c r="D91" s="5"/>
      <c r="E91" s="5"/>
      <c r="F91" s="5"/>
      <c r="G91" s="5"/>
      <c r="H91" s="5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0"/>
      <c r="B92" s="9"/>
      <c r="C92" s="5"/>
      <c r="D92" s="5"/>
      <c r="E92" s="5"/>
      <c r="F92" s="5"/>
      <c r="G92" s="5"/>
      <c r="H92" s="5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10"/>
      <c r="B93" s="9"/>
      <c r="C93" s="5"/>
      <c r="D93" s="5"/>
      <c r="E93" s="5"/>
      <c r="F93" s="5"/>
      <c r="G93" s="5"/>
      <c r="H93" s="5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10"/>
      <c r="B94" s="9"/>
      <c r="C94" s="5"/>
      <c r="D94" s="5"/>
      <c r="E94" s="5"/>
      <c r="F94" s="5"/>
      <c r="G94" s="5"/>
      <c r="H94" s="5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10"/>
      <c r="B95" s="9"/>
      <c r="C95" s="5"/>
      <c r="D95" s="5"/>
      <c r="E95" s="5"/>
      <c r="F95" s="5"/>
      <c r="G95" s="5"/>
      <c r="H95" s="5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10"/>
      <c r="B96" s="9"/>
      <c r="C96" s="5"/>
      <c r="D96" s="5"/>
      <c r="E96" s="5"/>
      <c r="F96" s="5"/>
      <c r="G96" s="5"/>
      <c r="H96" s="5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10"/>
      <c r="B97" s="9"/>
      <c r="C97" s="5"/>
      <c r="D97" s="5"/>
      <c r="E97" s="5"/>
      <c r="F97" s="5"/>
      <c r="G97" s="5"/>
      <c r="H97" s="5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10"/>
      <c r="B98" s="9"/>
      <c r="C98" s="5"/>
      <c r="D98" s="5"/>
      <c r="E98" s="5"/>
      <c r="F98" s="5"/>
      <c r="G98" s="5"/>
      <c r="H98" s="5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10"/>
      <c r="B99" s="9"/>
      <c r="C99" s="5"/>
      <c r="D99" s="5"/>
      <c r="E99" s="5"/>
      <c r="F99" s="5"/>
      <c r="G99" s="5"/>
      <c r="H99" s="5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10"/>
      <c r="B100" s="9"/>
      <c r="C100" s="5"/>
      <c r="D100" s="5"/>
      <c r="E100" s="5"/>
      <c r="F100" s="5"/>
      <c r="G100" s="5"/>
      <c r="H100" s="5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10"/>
      <c r="B101" s="9"/>
      <c r="C101" s="5"/>
      <c r="D101" s="5"/>
      <c r="E101" s="5"/>
      <c r="F101" s="5"/>
      <c r="G101" s="5"/>
      <c r="H101" s="5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10"/>
      <c r="B102" s="9"/>
      <c r="C102" s="5"/>
      <c r="D102" s="5"/>
      <c r="E102" s="5"/>
      <c r="F102" s="5"/>
      <c r="G102" s="5"/>
      <c r="H102" s="5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10"/>
      <c r="B103" s="9"/>
      <c r="C103" s="5"/>
      <c r="D103" s="5"/>
      <c r="E103" s="5"/>
      <c r="F103" s="5"/>
      <c r="G103" s="5"/>
      <c r="H103" s="5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10"/>
      <c r="B104" s="9"/>
      <c r="C104" s="5"/>
      <c r="D104" s="5"/>
      <c r="E104" s="5"/>
      <c r="F104" s="5"/>
      <c r="G104" s="5"/>
      <c r="H104" s="5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10"/>
      <c r="B105" s="9"/>
      <c r="C105" s="5"/>
      <c r="D105" s="5"/>
      <c r="E105" s="5"/>
      <c r="F105" s="5"/>
      <c r="G105" s="5"/>
      <c r="H105" s="5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10"/>
      <c r="B106" s="9"/>
      <c r="C106" s="5"/>
      <c r="D106" s="5"/>
      <c r="E106" s="5"/>
      <c r="F106" s="5"/>
      <c r="G106" s="5"/>
      <c r="H106" s="5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10"/>
      <c r="B107" s="9"/>
      <c r="C107" s="5"/>
      <c r="D107" s="5"/>
      <c r="E107" s="5"/>
      <c r="F107" s="5"/>
      <c r="G107" s="5"/>
      <c r="H107" s="5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10"/>
      <c r="B108" s="9"/>
      <c r="C108" s="5"/>
      <c r="D108" s="5"/>
      <c r="E108" s="5"/>
      <c r="F108" s="5"/>
      <c r="G108" s="5"/>
      <c r="H108" s="5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10"/>
      <c r="B109" s="9"/>
      <c r="C109" s="5"/>
      <c r="D109" s="5"/>
      <c r="E109" s="5"/>
      <c r="F109" s="5"/>
      <c r="G109" s="5"/>
      <c r="H109" s="5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10"/>
      <c r="B110" s="9"/>
      <c r="C110" s="5"/>
      <c r="D110" s="5"/>
      <c r="E110" s="5"/>
      <c r="F110" s="5"/>
      <c r="G110" s="5"/>
      <c r="H110" s="5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10"/>
      <c r="B111" s="9"/>
      <c r="C111" s="5"/>
      <c r="D111" s="5"/>
      <c r="E111" s="5"/>
      <c r="F111" s="5"/>
      <c r="G111" s="5"/>
      <c r="H111" s="5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10"/>
      <c r="B112" s="9"/>
      <c r="C112" s="5"/>
      <c r="D112" s="5"/>
      <c r="E112" s="5"/>
      <c r="F112" s="5"/>
      <c r="G112" s="5"/>
      <c r="H112" s="5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10"/>
      <c r="B113" s="9"/>
      <c r="C113" s="5"/>
      <c r="D113" s="5"/>
      <c r="E113" s="5"/>
      <c r="F113" s="5"/>
      <c r="G113" s="5"/>
      <c r="H113" s="5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10"/>
      <c r="B114" s="9"/>
      <c r="C114" s="5"/>
      <c r="D114" s="5"/>
      <c r="E114" s="5"/>
      <c r="F114" s="5"/>
      <c r="G114" s="5"/>
      <c r="H114" s="5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10"/>
      <c r="B115" s="9"/>
      <c r="C115" s="5"/>
      <c r="D115" s="5"/>
      <c r="E115" s="5"/>
      <c r="F115" s="5"/>
      <c r="G115" s="5"/>
      <c r="H115" s="5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10"/>
      <c r="B116" s="9"/>
      <c r="C116" s="5"/>
      <c r="D116" s="5"/>
      <c r="E116" s="5"/>
      <c r="F116" s="5"/>
      <c r="G116" s="5"/>
      <c r="H116" s="5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10"/>
      <c r="B117" s="9"/>
      <c r="C117" s="5"/>
      <c r="D117" s="5"/>
      <c r="E117" s="5"/>
      <c r="F117" s="5"/>
      <c r="G117" s="5"/>
      <c r="H117" s="5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10"/>
      <c r="B118" s="9"/>
      <c r="C118" s="5"/>
      <c r="D118" s="5"/>
      <c r="E118" s="5"/>
      <c r="F118" s="5"/>
      <c r="G118" s="5"/>
      <c r="H118" s="5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26.0"/>
    <col customWidth="1" min="2" max="2" width="4.63"/>
    <col customWidth="1" min="3" max="3" width="33.25"/>
    <col customWidth="1" min="4" max="4" width="25.13"/>
    <col customWidth="1" hidden="1" min="5" max="9" width="18.88"/>
    <col customWidth="1" hidden="1" min="10" max="10" width="16.75"/>
    <col hidden="1" min="11" max="18" width="12.63"/>
  </cols>
  <sheetData>
    <row r="1">
      <c r="A1" s="16"/>
      <c r="B1" s="17" t="s">
        <v>207</v>
      </c>
      <c r="C1" s="18"/>
      <c r="D1" s="18"/>
      <c r="E1" s="19"/>
      <c r="F1" s="20"/>
      <c r="G1" s="20"/>
      <c r="H1" s="20"/>
      <c r="I1" s="20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208</v>
      </c>
      <c r="B2" s="23"/>
      <c r="C2" s="24" t="s">
        <v>209</v>
      </c>
      <c r="D2" s="22" t="s">
        <v>210</v>
      </c>
      <c r="E2" s="25">
        <v>45997.0</v>
      </c>
      <c r="F2" s="26">
        <v>46004.0</v>
      </c>
      <c r="G2" s="26">
        <v>46011.0</v>
      </c>
      <c r="H2" s="26">
        <v>46018.0</v>
      </c>
      <c r="I2" s="25">
        <v>46032.0</v>
      </c>
      <c r="J2" s="27">
        <v>46039.0</v>
      </c>
      <c r="K2" s="27">
        <v>46046.0</v>
      </c>
      <c r="L2" s="27">
        <v>46053.0</v>
      </c>
      <c r="M2" s="27">
        <v>37294.0</v>
      </c>
      <c r="N2" s="27">
        <v>46067.0</v>
      </c>
      <c r="O2" s="27">
        <v>46074.0</v>
      </c>
      <c r="P2" s="27">
        <v>46081.0</v>
      </c>
      <c r="Q2" s="27">
        <v>46088.0</v>
      </c>
      <c r="R2" s="27">
        <v>46095.0</v>
      </c>
      <c r="S2" s="27">
        <v>46102.0</v>
      </c>
      <c r="T2" s="27">
        <v>46109.0</v>
      </c>
      <c r="U2" s="27" t="s">
        <v>211</v>
      </c>
      <c r="V2" s="27">
        <v>46123.0</v>
      </c>
      <c r="W2" s="27">
        <v>46130.0</v>
      </c>
      <c r="X2" s="21"/>
      <c r="Y2" s="21"/>
      <c r="Z2" s="21"/>
    </row>
    <row r="3" ht="24.0" customHeight="1">
      <c r="A3" s="28" t="s">
        <v>212</v>
      </c>
      <c r="B3" s="29">
        <v>1.0</v>
      </c>
      <c r="C3" s="30" t="s">
        <v>213</v>
      </c>
      <c r="D3" s="30" t="s">
        <v>214</v>
      </c>
      <c r="E3" s="28" t="s">
        <v>215</v>
      </c>
      <c r="F3" s="31" t="s">
        <v>216</v>
      </c>
      <c r="G3" s="28" t="s">
        <v>212</v>
      </c>
      <c r="H3" s="28" t="s">
        <v>212</v>
      </c>
      <c r="I3" s="28" t="s">
        <v>212</v>
      </c>
      <c r="J3" s="32" t="s">
        <v>217</v>
      </c>
      <c r="K3" s="32" t="s">
        <v>218</v>
      </c>
      <c r="L3" s="32" t="s">
        <v>218</v>
      </c>
      <c r="M3" s="32" t="s">
        <v>218</v>
      </c>
      <c r="N3" s="32" t="s">
        <v>219</v>
      </c>
      <c r="O3" s="32" t="s">
        <v>219</v>
      </c>
      <c r="P3" s="32" t="s">
        <v>220</v>
      </c>
      <c r="Q3" s="32" t="s">
        <v>219</v>
      </c>
      <c r="R3" s="32" t="s">
        <v>219</v>
      </c>
      <c r="S3" s="32" t="s">
        <v>219</v>
      </c>
      <c r="T3" s="32" t="s">
        <v>219</v>
      </c>
      <c r="U3" s="32"/>
      <c r="V3" s="32"/>
      <c r="W3" s="32"/>
      <c r="X3" s="21"/>
      <c r="Y3" s="21"/>
      <c r="Z3" s="21"/>
    </row>
    <row r="4">
      <c r="A4" s="28" t="s">
        <v>221</v>
      </c>
      <c r="B4" s="29">
        <v>2.0</v>
      </c>
      <c r="C4" s="30" t="s">
        <v>222</v>
      </c>
      <c r="D4" s="30" t="s">
        <v>223</v>
      </c>
      <c r="E4" s="28" t="s">
        <v>224</v>
      </c>
      <c r="F4" s="33"/>
      <c r="G4" s="28" t="s">
        <v>221</v>
      </c>
      <c r="H4" s="28" t="s">
        <v>225</v>
      </c>
      <c r="I4" s="28" t="s">
        <v>226</v>
      </c>
      <c r="J4" s="34">
        <v>46113.0</v>
      </c>
      <c r="K4" s="34">
        <v>46114.0</v>
      </c>
      <c r="L4" s="34">
        <v>46115.0</v>
      </c>
      <c r="M4" s="32" t="s">
        <v>227</v>
      </c>
      <c r="N4" s="32" t="s">
        <v>228</v>
      </c>
      <c r="O4" s="34">
        <v>46114.0</v>
      </c>
      <c r="P4" s="32" t="s">
        <v>229</v>
      </c>
      <c r="Q4" s="34">
        <v>46116.0</v>
      </c>
      <c r="R4" s="32" t="s">
        <v>230</v>
      </c>
      <c r="S4" s="34">
        <v>46113.0</v>
      </c>
      <c r="T4" s="32" t="s">
        <v>231</v>
      </c>
      <c r="U4" s="32"/>
      <c r="V4" s="32"/>
      <c r="W4" s="32"/>
      <c r="X4" s="21"/>
      <c r="Y4" s="21"/>
      <c r="Z4" s="21"/>
    </row>
    <row r="5">
      <c r="A5" s="35" t="s">
        <v>232</v>
      </c>
      <c r="B5" s="29">
        <v>3.0</v>
      </c>
      <c r="C5" s="30" t="s">
        <v>233</v>
      </c>
      <c r="D5" s="30" t="s">
        <v>234</v>
      </c>
      <c r="E5" s="35" t="s">
        <v>235</v>
      </c>
      <c r="F5" s="33"/>
      <c r="G5" s="35" t="s">
        <v>235</v>
      </c>
      <c r="H5" s="35" t="s">
        <v>235</v>
      </c>
      <c r="I5" s="28" t="s">
        <v>226</v>
      </c>
      <c r="J5" s="34">
        <v>46113.0</v>
      </c>
      <c r="K5" s="34">
        <v>46114.0</v>
      </c>
      <c r="L5" s="32" t="s">
        <v>236</v>
      </c>
      <c r="M5" s="32" t="s">
        <v>229</v>
      </c>
      <c r="N5" s="32" t="s">
        <v>227</v>
      </c>
      <c r="O5" s="32" t="s">
        <v>228</v>
      </c>
      <c r="P5" s="32" t="s">
        <v>237</v>
      </c>
      <c r="Q5" s="34">
        <v>46115.0</v>
      </c>
      <c r="R5" s="34">
        <v>46116.0</v>
      </c>
      <c r="S5" s="32" t="s">
        <v>228</v>
      </c>
      <c r="T5" s="32" t="s">
        <v>238</v>
      </c>
      <c r="U5" s="32"/>
      <c r="V5" s="32"/>
      <c r="W5" s="32"/>
      <c r="X5" s="21"/>
      <c r="Y5" s="21"/>
      <c r="Z5" s="21"/>
    </row>
    <row r="6">
      <c r="A6" s="28" t="s">
        <v>239</v>
      </c>
      <c r="B6" s="29">
        <v>4.0</v>
      </c>
      <c r="C6" s="30" t="s">
        <v>240</v>
      </c>
      <c r="D6" s="30">
        <v>8.9832933013E10</v>
      </c>
      <c r="E6" s="28" t="s">
        <v>241</v>
      </c>
      <c r="F6" s="33"/>
      <c r="G6" s="28" t="s">
        <v>242</v>
      </c>
      <c r="H6" s="28" t="s">
        <v>239</v>
      </c>
      <c r="I6" s="28" t="s">
        <v>226</v>
      </c>
      <c r="J6" s="34">
        <v>46113.0</v>
      </c>
      <c r="K6" s="34">
        <v>46114.0</v>
      </c>
      <c r="L6" s="34">
        <v>46115.0</v>
      </c>
      <c r="M6" s="32" t="s">
        <v>227</v>
      </c>
      <c r="N6" s="32" t="s">
        <v>228</v>
      </c>
      <c r="O6" s="32" t="s">
        <v>230</v>
      </c>
      <c r="P6" s="32" t="s">
        <v>237</v>
      </c>
      <c r="Q6" s="34">
        <v>46115.0</v>
      </c>
      <c r="R6" s="34">
        <v>46116.0</v>
      </c>
      <c r="S6" s="34">
        <v>46113.0</v>
      </c>
      <c r="T6" s="32" t="s">
        <v>243</v>
      </c>
      <c r="U6" s="32"/>
      <c r="V6" s="32"/>
      <c r="W6" s="32"/>
      <c r="X6" s="21"/>
      <c r="Y6" s="21"/>
      <c r="Z6" s="21"/>
    </row>
    <row r="7">
      <c r="A7" s="28" t="s">
        <v>244</v>
      </c>
      <c r="B7" s="29">
        <v>6.0</v>
      </c>
      <c r="C7" s="30" t="s">
        <v>245</v>
      </c>
      <c r="D7" s="30" t="s">
        <v>246</v>
      </c>
      <c r="E7" s="35" t="s">
        <v>247</v>
      </c>
      <c r="F7" s="36"/>
      <c r="G7" s="35" t="s">
        <v>248</v>
      </c>
      <c r="H7" s="28" t="s">
        <v>244</v>
      </c>
      <c r="I7" s="28" t="s">
        <v>226</v>
      </c>
      <c r="J7" s="34">
        <v>46113.0</v>
      </c>
      <c r="K7" s="34">
        <v>46114.0</v>
      </c>
      <c r="L7" s="32" t="s">
        <v>243</v>
      </c>
      <c r="M7" s="32" t="s">
        <v>229</v>
      </c>
      <c r="N7" s="32" t="s">
        <v>227</v>
      </c>
      <c r="O7" s="32" t="s">
        <v>249</v>
      </c>
      <c r="P7" s="32" t="s">
        <v>228</v>
      </c>
      <c r="Q7" s="34">
        <v>46114.0</v>
      </c>
      <c r="R7" s="34">
        <v>46115.0</v>
      </c>
      <c r="S7" s="32" t="s">
        <v>227</v>
      </c>
      <c r="T7" s="32" t="s">
        <v>250</v>
      </c>
      <c r="U7" s="32"/>
      <c r="V7" s="32"/>
      <c r="W7" s="32"/>
      <c r="X7" s="21"/>
      <c r="Y7" s="21"/>
      <c r="Z7" s="21"/>
    </row>
    <row r="8">
      <c r="A8" s="28"/>
      <c r="B8" s="29">
        <v>7.0</v>
      </c>
      <c r="C8" s="30" t="s">
        <v>251</v>
      </c>
      <c r="D8" s="30">
        <v>7.9851759291E10</v>
      </c>
      <c r="E8" s="35"/>
      <c r="G8" s="35"/>
      <c r="H8" s="28"/>
      <c r="I8" s="28"/>
      <c r="J8" s="34"/>
      <c r="K8" s="34">
        <v>46113.0</v>
      </c>
      <c r="L8" s="32" t="s">
        <v>236</v>
      </c>
      <c r="M8" s="32" t="s">
        <v>237</v>
      </c>
      <c r="N8" s="32" t="s">
        <v>229</v>
      </c>
      <c r="O8" s="34">
        <v>46116.0</v>
      </c>
      <c r="P8" s="32" t="s">
        <v>228</v>
      </c>
      <c r="Q8" s="34">
        <v>46114.0</v>
      </c>
      <c r="R8" s="34">
        <v>46115.0</v>
      </c>
      <c r="S8" s="34">
        <v>46116.0</v>
      </c>
      <c r="T8" s="32" t="s">
        <v>252</v>
      </c>
      <c r="U8" s="34">
        <v>46114.0</v>
      </c>
      <c r="V8" s="34">
        <v>46115.0</v>
      </c>
      <c r="W8" s="34">
        <v>46116.0</v>
      </c>
      <c r="X8" s="21"/>
      <c r="Y8" s="21"/>
      <c r="Z8" s="21"/>
    </row>
    <row r="9">
      <c r="A9" s="21"/>
      <c r="B9" s="21"/>
      <c r="C9" s="30" t="s">
        <v>253</v>
      </c>
      <c r="D9" s="30" t="s">
        <v>254</v>
      </c>
      <c r="E9" s="35"/>
      <c r="G9" s="35"/>
      <c r="H9" s="28"/>
      <c r="I9" s="28"/>
      <c r="J9" s="34"/>
      <c r="K9" s="34"/>
      <c r="L9" s="32"/>
      <c r="M9" s="32"/>
      <c r="N9" s="32"/>
      <c r="O9" s="32"/>
      <c r="P9" s="32"/>
      <c r="Q9" s="34"/>
      <c r="R9" s="32">
        <v>1600.0</v>
      </c>
      <c r="S9" s="32" t="s">
        <v>255</v>
      </c>
      <c r="T9" s="32" t="s">
        <v>231</v>
      </c>
      <c r="U9" s="21"/>
      <c r="V9" s="21"/>
      <c r="W9" s="21"/>
      <c r="X9" s="21"/>
      <c r="Y9" s="21"/>
      <c r="Z9" s="21"/>
    </row>
    <row r="10">
      <c r="A10" s="21"/>
      <c r="B10" s="21"/>
      <c r="C10" s="37"/>
      <c r="D10" s="37"/>
      <c r="E10" s="21"/>
      <c r="F10" s="21"/>
      <c r="G10" s="21"/>
      <c r="H10" s="21"/>
      <c r="I10" s="21"/>
      <c r="J10" s="38"/>
      <c r="K10" s="38"/>
      <c r="L10" s="39"/>
      <c r="M10" s="39"/>
      <c r="N10" s="39"/>
      <c r="O10" s="39"/>
      <c r="P10" s="39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37" t="s">
        <v>256</v>
      </c>
      <c r="D11" s="37" t="s">
        <v>257</v>
      </c>
      <c r="E11" s="21"/>
      <c r="F11" s="21"/>
      <c r="G11" s="21"/>
      <c r="H11" s="21"/>
      <c r="I11" s="21"/>
      <c r="J11" s="38"/>
      <c r="K11" s="38"/>
      <c r="L11" s="39" t="s">
        <v>258</v>
      </c>
      <c r="M11" s="39" t="s">
        <v>259</v>
      </c>
      <c r="N11" s="39" t="s">
        <v>258</v>
      </c>
      <c r="O11" s="39" t="s">
        <v>230</v>
      </c>
      <c r="P11" s="39" t="s">
        <v>258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37" t="s">
        <v>260</v>
      </c>
      <c r="D12" s="37">
        <v>9.153253634E9</v>
      </c>
      <c r="E12" s="21"/>
      <c r="F12" s="21"/>
      <c r="G12" s="21"/>
      <c r="H12" s="21"/>
      <c r="I12" s="21"/>
      <c r="J12" s="40"/>
      <c r="K12" s="38"/>
      <c r="L12" s="39" t="s">
        <v>236</v>
      </c>
      <c r="M12" s="39" t="s">
        <v>261</v>
      </c>
      <c r="N12" s="38"/>
      <c r="O12" s="39" t="s">
        <v>230</v>
      </c>
      <c r="P12" s="38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37" t="s">
        <v>262</v>
      </c>
      <c r="D13" s="37">
        <v>7.903179065E10</v>
      </c>
      <c r="E13" s="21"/>
      <c r="F13" s="21"/>
      <c r="G13" s="21"/>
      <c r="H13" s="21"/>
      <c r="I13" s="21"/>
      <c r="J13" s="38"/>
      <c r="K13" s="38"/>
      <c r="L13" s="38"/>
      <c r="M13" s="38"/>
      <c r="N13" s="40">
        <v>1600.0</v>
      </c>
      <c r="O13" s="39" t="s">
        <v>230</v>
      </c>
      <c r="P13" s="39" t="s">
        <v>237</v>
      </c>
      <c r="Q13" s="37" t="s">
        <v>263</v>
      </c>
      <c r="R13" s="37" t="s">
        <v>264</v>
      </c>
      <c r="S13" s="37" t="s">
        <v>265</v>
      </c>
      <c r="T13" s="37" t="s">
        <v>265</v>
      </c>
      <c r="U13" s="21"/>
      <c r="V13" s="21"/>
      <c r="W13" s="21"/>
      <c r="X13" s="21"/>
      <c r="Y13" s="21"/>
      <c r="Z13" s="21"/>
    </row>
    <row r="14">
      <c r="A14" s="21"/>
      <c r="B14" s="29">
        <v>5.0</v>
      </c>
      <c r="C14" s="30" t="s">
        <v>266</v>
      </c>
      <c r="D14" s="30">
        <v>8.9771070937E10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32" t="s">
        <v>267</v>
      </c>
      <c r="Q14" s="32" t="s">
        <v>268</v>
      </c>
      <c r="R14" s="21"/>
      <c r="S14" s="37" t="s">
        <v>269</v>
      </c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37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37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37" t="s">
        <v>270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37" t="s">
        <v>271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</sheetData>
  <mergeCells count="2">
    <mergeCell ref="B1:D1"/>
    <mergeCell ref="F3:F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20.38"/>
    <col customWidth="1" min="3" max="4" width="18.88"/>
    <col customWidth="1" hidden="1" min="5" max="5" width="20.75"/>
    <col customWidth="1" hidden="1" min="6" max="6" width="11.75"/>
    <col customWidth="1" hidden="1" min="7" max="7" width="15.25"/>
    <col customWidth="1" hidden="1" min="8" max="8" width="23.0"/>
    <col customWidth="1" hidden="1" min="9" max="18" width="24.13"/>
    <col customWidth="1" min="19" max="25" width="24.13"/>
  </cols>
  <sheetData>
    <row r="1" ht="25.5" customHeight="1">
      <c r="A1" s="41"/>
      <c r="E1" s="42" t="s">
        <v>272</v>
      </c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4"/>
      <c r="Y1" s="44"/>
    </row>
    <row r="2">
      <c r="A2" s="45"/>
      <c r="B2" s="46"/>
      <c r="C2" s="46"/>
      <c r="D2" s="47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4"/>
      <c r="Y2" s="44"/>
    </row>
    <row r="3">
      <c r="A3" s="48"/>
      <c r="B3" s="49" t="s">
        <v>210</v>
      </c>
      <c r="C3" s="49" t="s">
        <v>273</v>
      </c>
      <c r="D3" s="49" t="s">
        <v>208</v>
      </c>
      <c r="E3" s="50">
        <v>45997.0</v>
      </c>
      <c r="F3" s="51">
        <v>46004.0</v>
      </c>
      <c r="G3" s="51">
        <v>46011.0</v>
      </c>
      <c r="H3" s="51">
        <v>46018.0</v>
      </c>
      <c r="I3" s="51">
        <v>46032.0</v>
      </c>
      <c r="J3" s="51">
        <v>46039.0</v>
      </c>
      <c r="K3" s="51">
        <v>46046.0</v>
      </c>
      <c r="L3" s="51">
        <v>46053.0</v>
      </c>
      <c r="M3" s="51">
        <v>46060.0</v>
      </c>
      <c r="N3" s="51">
        <v>46067.0</v>
      </c>
      <c r="O3" s="51">
        <v>46074.0</v>
      </c>
      <c r="P3" s="51">
        <v>46081.0</v>
      </c>
      <c r="Q3" s="51">
        <v>46088.0</v>
      </c>
      <c r="R3" s="51">
        <v>46095.0</v>
      </c>
      <c r="S3" s="51">
        <v>46102.0</v>
      </c>
      <c r="T3" s="51">
        <v>46109.0</v>
      </c>
      <c r="U3" s="51">
        <v>46116.0</v>
      </c>
      <c r="V3" s="51">
        <v>46123.0</v>
      </c>
      <c r="W3" s="51">
        <v>46130.0</v>
      </c>
      <c r="X3" s="52"/>
      <c r="Y3" s="52"/>
    </row>
    <row r="4">
      <c r="A4" s="53" t="s">
        <v>274</v>
      </c>
      <c r="B4" s="53" t="s">
        <v>275</v>
      </c>
      <c r="C4" s="28" t="s">
        <v>276</v>
      </c>
      <c r="D4" s="28" t="s">
        <v>276</v>
      </c>
      <c r="E4" s="28" t="s">
        <v>277</v>
      </c>
      <c r="F4" s="28" t="s">
        <v>277</v>
      </c>
      <c r="G4" s="20"/>
      <c r="H4" s="20"/>
      <c r="I4" s="20"/>
      <c r="J4" s="28" t="s">
        <v>278</v>
      </c>
      <c r="K4" s="20"/>
      <c r="L4" s="20"/>
      <c r="M4" s="28">
        <v>1100.0</v>
      </c>
      <c r="N4" s="20"/>
      <c r="O4" s="20"/>
      <c r="P4" s="20"/>
      <c r="Q4" s="28" t="s">
        <v>279</v>
      </c>
      <c r="R4" s="28" t="s">
        <v>279</v>
      </c>
      <c r="S4" s="28" t="s">
        <v>279</v>
      </c>
      <c r="T4" s="28" t="s">
        <v>279</v>
      </c>
      <c r="U4" s="20"/>
      <c r="V4" s="20"/>
      <c r="W4" s="20"/>
      <c r="X4" s="44"/>
      <c r="Y4" s="44"/>
    </row>
    <row r="5">
      <c r="A5" s="53" t="s">
        <v>280</v>
      </c>
      <c r="B5" s="53" t="s">
        <v>281</v>
      </c>
      <c r="C5" s="28"/>
      <c r="D5" s="28"/>
      <c r="E5" s="28" t="s">
        <v>242</v>
      </c>
      <c r="F5" s="28" t="s">
        <v>239</v>
      </c>
      <c r="G5" s="28" t="s">
        <v>282</v>
      </c>
      <c r="H5" s="28" t="s">
        <v>283</v>
      </c>
      <c r="I5" s="28" t="s">
        <v>241</v>
      </c>
      <c r="J5" s="28" t="s">
        <v>229</v>
      </c>
      <c r="K5" s="28" t="s">
        <v>227</v>
      </c>
      <c r="L5" s="28" t="s">
        <v>284</v>
      </c>
      <c r="M5" s="28" t="s">
        <v>284</v>
      </c>
      <c r="N5" s="28" t="s">
        <v>284</v>
      </c>
      <c r="O5" s="28" t="s">
        <v>285</v>
      </c>
      <c r="P5" s="20"/>
      <c r="Q5" s="28" t="s">
        <v>228</v>
      </c>
      <c r="R5" s="54">
        <v>46114.0</v>
      </c>
      <c r="S5" s="54">
        <v>46115.0</v>
      </c>
      <c r="T5" s="28" t="s">
        <v>286</v>
      </c>
      <c r="U5" s="20"/>
      <c r="V5" s="20"/>
      <c r="W5" s="20"/>
      <c r="X5" s="44"/>
      <c r="Y5" s="44"/>
    </row>
    <row r="6">
      <c r="A6" s="53" t="s">
        <v>287</v>
      </c>
      <c r="B6" s="53" t="s">
        <v>288</v>
      </c>
      <c r="C6" s="28"/>
      <c r="D6" s="28" t="s">
        <v>212</v>
      </c>
      <c r="E6" s="28" t="s">
        <v>242</v>
      </c>
      <c r="F6" s="28" t="s">
        <v>239</v>
      </c>
      <c r="G6" s="28" t="s">
        <v>212</v>
      </c>
      <c r="H6" s="28" t="s">
        <v>212</v>
      </c>
      <c r="I6" s="28" t="s">
        <v>212</v>
      </c>
      <c r="J6" s="28" t="s">
        <v>212</v>
      </c>
      <c r="K6" s="20"/>
      <c r="L6" s="20"/>
      <c r="M6" s="20"/>
      <c r="N6" s="20"/>
      <c r="O6" s="28" t="s">
        <v>289</v>
      </c>
      <c r="P6" s="20"/>
      <c r="Q6" s="20"/>
      <c r="R6" s="20"/>
      <c r="S6" s="20"/>
      <c r="T6" s="28" t="s">
        <v>212</v>
      </c>
      <c r="U6" s="28" t="s">
        <v>212</v>
      </c>
      <c r="V6" s="28" t="s">
        <v>212</v>
      </c>
      <c r="W6" s="20"/>
      <c r="X6" s="44"/>
      <c r="Y6" s="44"/>
    </row>
    <row r="7">
      <c r="A7" s="53" t="s">
        <v>290</v>
      </c>
      <c r="B7" s="53" t="s">
        <v>291</v>
      </c>
      <c r="C7" s="28"/>
      <c r="D7" s="28"/>
      <c r="E7" s="28" t="s">
        <v>241</v>
      </c>
      <c r="F7" s="28" t="s">
        <v>242</v>
      </c>
      <c r="G7" s="28" t="s">
        <v>239</v>
      </c>
      <c r="H7" s="28" t="s">
        <v>283</v>
      </c>
      <c r="I7" s="28" t="s">
        <v>241</v>
      </c>
      <c r="J7" s="28" t="s">
        <v>229</v>
      </c>
      <c r="K7" s="28" t="s">
        <v>227</v>
      </c>
      <c r="L7" s="28">
        <v>1600.0</v>
      </c>
      <c r="M7" s="28" t="s">
        <v>292</v>
      </c>
      <c r="N7" s="28" t="s">
        <v>292</v>
      </c>
      <c r="O7" s="28" t="s">
        <v>289</v>
      </c>
      <c r="P7" s="20"/>
      <c r="Q7" s="20"/>
      <c r="R7" s="20"/>
      <c r="S7" s="54"/>
      <c r="T7" s="28" t="s">
        <v>212</v>
      </c>
      <c r="U7" s="20"/>
      <c r="V7" s="20"/>
      <c r="W7" s="20"/>
      <c r="X7" s="44"/>
      <c r="Y7" s="44"/>
    </row>
    <row r="8">
      <c r="A8" s="53" t="s">
        <v>293</v>
      </c>
      <c r="B8" s="53" t="s">
        <v>294</v>
      </c>
      <c r="C8" s="28"/>
      <c r="D8" s="28"/>
      <c r="E8" s="28" t="s">
        <v>241</v>
      </c>
      <c r="F8" s="28" t="s">
        <v>242</v>
      </c>
      <c r="G8" s="28" t="s">
        <v>225</v>
      </c>
      <c r="H8" s="28" t="s">
        <v>239</v>
      </c>
      <c r="I8" s="54">
        <v>46113.0</v>
      </c>
      <c r="J8" s="28" t="s">
        <v>237</v>
      </c>
      <c r="K8" s="28" t="s">
        <v>229</v>
      </c>
      <c r="L8" s="28" t="s">
        <v>227</v>
      </c>
      <c r="M8" s="28" t="s">
        <v>228</v>
      </c>
      <c r="N8" s="28" t="s">
        <v>237</v>
      </c>
      <c r="O8" s="28" t="s">
        <v>229</v>
      </c>
      <c r="P8" s="54">
        <v>46116.0</v>
      </c>
      <c r="Q8" s="28" t="s">
        <v>228</v>
      </c>
      <c r="R8" s="28" t="s">
        <v>243</v>
      </c>
      <c r="S8" s="54" t="s">
        <v>249</v>
      </c>
      <c r="T8" s="54" t="s">
        <v>249</v>
      </c>
      <c r="U8" s="20"/>
      <c r="V8" s="20"/>
      <c r="W8" s="20"/>
      <c r="X8" s="44"/>
      <c r="Y8" s="44"/>
    </row>
    <row r="9">
      <c r="A9" s="53" t="s">
        <v>295</v>
      </c>
      <c r="B9" s="53" t="s">
        <v>296</v>
      </c>
      <c r="C9" s="28"/>
      <c r="D9" s="28"/>
      <c r="E9" s="28" t="s">
        <v>297</v>
      </c>
      <c r="F9" s="28" t="s">
        <v>242</v>
      </c>
      <c r="G9" s="28" t="s">
        <v>239</v>
      </c>
      <c r="H9" s="28" t="s">
        <v>225</v>
      </c>
      <c r="I9" s="28" t="s">
        <v>298</v>
      </c>
      <c r="J9" s="28" t="s">
        <v>228</v>
      </c>
      <c r="K9" s="28" t="s">
        <v>243</v>
      </c>
      <c r="L9" s="28" t="s">
        <v>237</v>
      </c>
      <c r="M9" s="28" t="s">
        <v>243</v>
      </c>
      <c r="N9" s="28" t="s">
        <v>243</v>
      </c>
      <c r="O9" s="28" t="s">
        <v>299</v>
      </c>
      <c r="P9" s="28" t="s">
        <v>299</v>
      </c>
      <c r="Q9" s="28" t="s">
        <v>229</v>
      </c>
      <c r="R9" s="28" t="s">
        <v>243</v>
      </c>
      <c r="S9" s="54">
        <v>46116.0</v>
      </c>
      <c r="T9" s="20"/>
      <c r="U9" s="20"/>
      <c r="V9" s="20"/>
      <c r="W9" s="20"/>
      <c r="X9" s="44"/>
      <c r="Y9" s="44"/>
    </row>
    <row r="10">
      <c r="A10" s="53" t="s">
        <v>300</v>
      </c>
      <c r="B10" s="53" t="s">
        <v>214</v>
      </c>
      <c r="C10" s="28"/>
      <c r="D10" s="28" t="s">
        <v>301</v>
      </c>
      <c r="E10" s="28" t="s">
        <v>283</v>
      </c>
      <c r="F10" s="28" t="s">
        <v>241</v>
      </c>
      <c r="G10" s="28" t="s">
        <v>242</v>
      </c>
      <c r="H10" s="28" t="s">
        <v>243</v>
      </c>
      <c r="I10" s="54">
        <v>46116.0</v>
      </c>
      <c r="J10" s="28" t="s">
        <v>228</v>
      </c>
      <c r="K10" s="54">
        <v>46114.0</v>
      </c>
      <c r="L10" s="28" t="s">
        <v>229</v>
      </c>
      <c r="M10" s="28" t="s">
        <v>227</v>
      </c>
      <c r="N10" s="28" t="s">
        <v>302</v>
      </c>
      <c r="O10" s="28" t="s">
        <v>230</v>
      </c>
      <c r="P10" s="28" t="s">
        <v>228</v>
      </c>
      <c r="Q10" s="54">
        <v>46114.0</v>
      </c>
      <c r="R10" s="54">
        <v>46115.0</v>
      </c>
      <c r="S10" s="54">
        <v>46116.0</v>
      </c>
      <c r="T10" s="20"/>
      <c r="U10" s="20"/>
      <c r="V10" s="20"/>
      <c r="W10" s="20"/>
      <c r="X10" s="44"/>
      <c r="Y10" s="44"/>
    </row>
    <row r="11">
      <c r="A11" s="28" t="s">
        <v>303</v>
      </c>
      <c r="B11" s="28">
        <v>8.9265956489E10</v>
      </c>
      <c r="C11" s="28"/>
      <c r="D11" s="28"/>
      <c r="E11" s="28" t="s">
        <v>242</v>
      </c>
      <c r="F11" s="28" t="s">
        <v>239</v>
      </c>
      <c r="G11" s="28" t="s">
        <v>304</v>
      </c>
      <c r="H11" s="28" t="s">
        <v>305</v>
      </c>
      <c r="I11" s="28" t="s">
        <v>305</v>
      </c>
      <c r="J11" s="28" t="s">
        <v>228</v>
      </c>
      <c r="K11" s="28" t="s">
        <v>237</v>
      </c>
      <c r="L11" s="28" t="s">
        <v>229</v>
      </c>
      <c r="M11" s="28" t="s">
        <v>243</v>
      </c>
      <c r="N11" s="28" t="s">
        <v>227</v>
      </c>
      <c r="O11" s="28" t="s">
        <v>228</v>
      </c>
      <c r="P11" s="28" t="s">
        <v>237</v>
      </c>
      <c r="Q11" s="28" t="s">
        <v>306</v>
      </c>
      <c r="R11" s="28" t="s">
        <v>243</v>
      </c>
      <c r="S11" s="54">
        <v>46115.0</v>
      </c>
      <c r="T11" s="28" t="s">
        <v>307</v>
      </c>
      <c r="U11" s="28" t="s">
        <v>307</v>
      </c>
      <c r="V11" s="28" t="s">
        <v>307</v>
      </c>
      <c r="W11" s="20"/>
      <c r="X11" s="44"/>
      <c r="Y11" s="44"/>
    </row>
    <row r="12">
      <c r="A12" s="53" t="s">
        <v>308</v>
      </c>
      <c r="B12" s="53" t="s">
        <v>309</v>
      </c>
      <c r="C12" s="28"/>
      <c r="D12" s="28"/>
      <c r="E12" s="28" t="s">
        <v>283</v>
      </c>
      <c r="F12" s="28" t="s">
        <v>241</v>
      </c>
      <c r="G12" s="28" t="s">
        <v>242</v>
      </c>
      <c r="H12" s="28" t="s">
        <v>239</v>
      </c>
      <c r="I12" s="28" t="s">
        <v>305</v>
      </c>
      <c r="J12" s="28" t="s">
        <v>228</v>
      </c>
      <c r="K12" s="28" t="s">
        <v>237</v>
      </c>
      <c r="L12" s="28" t="s">
        <v>229</v>
      </c>
      <c r="M12" s="28" t="s">
        <v>227</v>
      </c>
      <c r="N12" s="28" t="s">
        <v>243</v>
      </c>
      <c r="O12" s="28" t="s">
        <v>243</v>
      </c>
      <c r="P12" s="20"/>
      <c r="Q12" s="20"/>
      <c r="R12" s="28">
        <v>1600.0</v>
      </c>
      <c r="S12" s="54"/>
      <c r="T12" s="20"/>
      <c r="U12" s="20"/>
      <c r="V12" s="20"/>
      <c r="W12" s="20"/>
      <c r="X12" s="44"/>
      <c r="Y12" s="44"/>
    </row>
    <row r="13">
      <c r="A13" s="53" t="s">
        <v>310</v>
      </c>
      <c r="B13" s="53" t="s">
        <v>311</v>
      </c>
      <c r="C13" s="20"/>
      <c r="D13" s="20"/>
      <c r="E13" s="28"/>
      <c r="F13" s="20"/>
      <c r="G13" s="20"/>
      <c r="H13" s="20"/>
      <c r="I13" s="20"/>
      <c r="J13" s="28"/>
      <c r="K13" s="28"/>
      <c r="L13" s="28"/>
      <c r="M13" s="20"/>
      <c r="N13" s="20"/>
      <c r="O13" s="28" t="s">
        <v>312</v>
      </c>
      <c r="P13" s="28">
        <v>1600.0</v>
      </c>
      <c r="Q13" s="28" t="s">
        <v>258</v>
      </c>
      <c r="R13" s="28">
        <v>1600.0</v>
      </c>
      <c r="S13" s="54" t="s">
        <v>313</v>
      </c>
      <c r="T13" s="28" t="s">
        <v>269</v>
      </c>
      <c r="U13" s="20"/>
      <c r="V13" s="20"/>
      <c r="W13" s="20"/>
      <c r="X13" s="44"/>
      <c r="Y13" s="44"/>
    </row>
    <row r="14">
      <c r="A14" s="53" t="s">
        <v>314</v>
      </c>
      <c r="B14" s="53" t="s">
        <v>315</v>
      </c>
      <c r="C14" s="20"/>
      <c r="D14" s="20"/>
      <c r="E14" s="28" t="s">
        <v>219</v>
      </c>
      <c r="F14" s="20"/>
      <c r="G14" s="20"/>
      <c r="H14" s="20"/>
      <c r="I14" s="20"/>
      <c r="J14" s="28" t="s">
        <v>230</v>
      </c>
      <c r="K14" s="28" t="s">
        <v>230</v>
      </c>
      <c r="L14" s="28"/>
      <c r="M14" s="20"/>
      <c r="N14" s="20"/>
      <c r="O14" s="55" t="s">
        <v>230</v>
      </c>
      <c r="P14" s="20"/>
      <c r="Q14" s="28" t="s">
        <v>316</v>
      </c>
      <c r="R14" s="28" t="s">
        <v>317</v>
      </c>
      <c r="S14" s="54" t="s">
        <v>313</v>
      </c>
      <c r="T14" s="28" t="s">
        <v>318</v>
      </c>
      <c r="U14" s="20"/>
      <c r="V14" s="20"/>
      <c r="W14" s="20"/>
      <c r="X14" s="44"/>
      <c r="Y14" s="44"/>
    </row>
    <row r="15">
      <c r="A15" s="53" t="s">
        <v>319</v>
      </c>
      <c r="B15" s="53">
        <v>7.9261947336E10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7"/>
      <c r="P15" s="56"/>
      <c r="Q15" s="56"/>
      <c r="R15" s="58" t="s">
        <v>320</v>
      </c>
      <c r="S15" s="54" t="s">
        <v>321</v>
      </c>
      <c r="T15" s="59" t="s">
        <v>250</v>
      </c>
      <c r="U15" s="57"/>
      <c r="V15" s="57"/>
      <c r="W15" s="44"/>
      <c r="X15" s="44"/>
      <c r="Y15" s="44"/>
    </row>
    <row r="16">
      <c r="A16" s="53" t="s">
        <v>322</v>
      </c>
      <c r="B16" s="53" t="s">
        <v>323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7"/>
      <c r="P16" s="56"/>
      <c r="Q16" s="56"/>
      <c r="R16" s="54">
        <v>46113.0</v>
      </c>
      <c r="S16" s="54">
        <v>46114.0</v>
      </c>
      <c r="T16" s="59" t="s">
        <v>324</v>
      </c>
      <c r="U16" s="57"/>
      <c r="V16" s="57"/>
      <c r="W16" s="44"/>
      <c r="X16" s="44"/>
      <c r="Y16" s="44"/>
    </row>
    <row r="17">
      <c r="A17" s="53" t="s">
        <v>325</v>
      </c>
      <c r="B17" s="53" t="s">
        <v>326</v>
      </c>
      <c r="C17" s="20"/>
      <c r="D17" s="20"/>
      <c r="E17" s="28"/>
      <c r="F17" s="20"/>
      <c r="G17" s="20"/>
      <c r="H17" s="20"/>
      <c r="I17" s="20"/>
      <c r="J17" s="28"/>
      <c r="K17" s="28"/>
      <c r="L17" s="28"/>
      <c r="M17" s="20"/>
      <c r="N17" s="20"/>
      <c r="O17" s="28" t="s">
        <v>327</v>
      </c>
      <c r="P17" s="28" t="s">
        <v>328</v>
      </c>
      <c r="Q17" s="20"/>
      <c r="R17" s="20"/>
      <c r="S17" s="54"/>
      <c r="T17" s="20"/>
      <c r="U17" s="20"/>
      <c r="V17" s="20"/>
      <c r="W17" s="20"/>
      <c r="X17" s="44"/>
      <c r="Y17" s="44"/>
    </row>
    <row r="18">
      <c r="A18" s="28" t="s">
        <v>329</v>
      </c>
      <c r="B18" s="28" t="s">
        <v>330</v>
      </c>
      <c r="C18" s="20"/>
      <c r="D18" s="20"/>
      <c r="E18" s="28" t="s">
        <v>219</v>
      </c>
      <c r="F18" s="20"/>
      <c r="G18" s="20"/>
      <c r="H18" s="20"/>
      <c r="I18" s="20"/>
      <c r="J18" s="20"/>
      <c r="K18" s="20"/>
      <c r="L18" s="20"/>
      <c r="M18" s="20"/>
      <c r="N18" s="20"/>
      <c r="O18" s="28" t="s">
        <v>230</v>
      </c>
      <c r="P18" s="20"/>
      <c r="Q18" s="20"/>
      <c r="R18" s="20"/>
      <c r="S18" s="54"/>
      <c r="T18" s="20"/>
      <c r="U18" s="20"/>
      <c r="V18" s="20"/>
      <c r="W18" s="20"/>
      <c r="X18" s="44"/>
      <c r="Y18" s="44"/>
    </row>
    <row r="19">
      <c r="A19" s="53" t="s">
        <v>331</v>
      </c>
      <c r="B19" s="53" t="s">
        <v>332</v>
      </c>
      <c r="C19" s="20"/>
      <c r="D19" s="20"/>
      <c r="E19" s="28" t="s">
        <v>219</v>
      </c>
      <c r="F19" s="20"/>
      <c r="G19" s="20"/>
      <c r="H19" s="20"/>
      <c r="I19" s="20"/>
      <c r="J19" s="28" t="s">
        <v>333</v>
      </c>
      <c r="K19" s="20"/>
      <c r="L19" s="20"/>
      <c r="M19" s="28" t="s">
        <v>333</v>
      </c>
      <c r="N19" s="20"/>
      <c r="O19" s="55" t="s">
        <v>230</v>
      </c>
      <c r="P19" s="20"/>
      <c r="Q19" s="20"/>
      <c r="R19" s="20"/>
      <c r="S19" s="54"/>
      <c r="T19" s="20"/>
      <c r="U19" s="20"/>
      <c r="V19" s="20"/>
      <c r="W19" s="20"/>
      <c r="X19" s="44"/>
      <c r="Y19" s="44"/>
    </row>
    <row r="20">
      <c r="A20" s="53" t="s">
        <v>334</v>
      </c>
      <c r="B20" s="53" t="s">
        <v>335</v>
      </c>
      <c r="C20" s="20"/>
      <c r="D20" s="20"/>
      <c r="E20" s="28" t="s">
        <v>219</v>
      </c>
      <c r="F20" s="20"/>
      <c r="G20" s="20"/>
      <c r="H20" s="20"/>
      <c r="I20" s="20"/>
      <c r="J20" s="20"/>
      <c r="K20" s="20"/>
      <c r="L20" s="20"/>
      <c r="M20" s="20"/>
      <c r="N20" s="20"/>
      <c r="O20" s="28" t="s">
        <v>336</v>
      </c>
      <c r="P20" s="20"/>
      <c r="Q20" s="20"/>
      <c r="R20" s="20"/>
      <c r="S20" s="54"/>
      <c r="T20" s="20"/>
      <c r="U20" s="20"/>
      <c r="V20" s="20"/>
      <c r="W20" s="20"/>
      <c r="X20" s="44"/>
      <c r="Y20" s="44"/>
    </row>
    <row r="21">
      <c r="A21" s="53" t="s">
        <v>107</v>
      </c>
      <c r="B21" s="53">
        <f>79175815853</f>
        <v>79175815853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0"/>
      <c r="S21" s="28">
        <v>1500.0</v>
      </c>
      <c r="T21" s="32" t="s">
        <v>250</v>
      </c>
      <c r="U21" s="57"/>
      <c r="V21" s="57"/>
      <c r="W21" s="44"/>
      <c r="X21" s="44"/>
      <c r="Y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62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62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62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63" t="s">
        <v>337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62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53" t="s">
        <v>338</v>
      </c>
      <c r="B26" s="53">
        <v>7.925295092E10</v>
      </c>
      <c r="C26" s="20"/>
      <c r="D26" s="20" t="s">
        <v>339</v>
      </c>
      <c r="E26" s="28"/>
      <c r="F26" s="20"/>
      <c r="G26" s="20"/>
      <c r="H26" s="20"/>
      <c r="I26" s="20"/>
      <c r="J26" s="28"/>
      <c r="K26" s="28" t="s">
        <v>230</v>
      </c>
      <c r="L26" s="28" t="s">
        <v>340</v>
      </c>
      <c r="M26" s="20"/>
      <c r="N26" s="20"/>
      <c r="O26" s="28"/>
      <c r="P26" s="28"/>
      <c r="Q26" s="20"/>
      <c r="R26" s="20"/>
      <c r="S26" s="20"/>
      <c r="T26" s="20"/>
      <c r="U26" s="20"/>
      <c r="V26" s="20"/>
      <c r="W26" s="20"/>
      <c r="X26" s="44"/>
      <c r="Y26" s="44"/>
    </row>
    <row r="27">
      <c r="C27" s="43"/>
      <c r="D27" s="20"/>
      <c r="E27" s="28"/>
      <c r="F27" s="20"/>
      <c r="G27" s="20"/>
      <c r="H27" s="20"/>
      <c r="I27" s="20"/>
      <c r="J27" s="28"/>
      <c r="K27" s="28"/>
      <c r="L27" s="28"/>
      <c r="M27" s="20"/>
      <c r="N27" s="28" t="s">
        <v>341</v>
      </c>
      <c r="O27" s="20"/>
      <c r="P27" s="20"/>
      <c r="Q27" s="20"/>
      <c r="R27" s="20"/>
      <c r="S27" s="20"/>
      <c r="T27" s="20"/>
      <c r="U27" s="20"/>
      <c r="V27" s="20"/>
      <c r="W27" s="20"/>
      <c r="X27" s="44"/>
      <c r="Y27" s="44"/>
    </row>
    <row r="28">
      <c r="A28" s="28" t="s">
        <v>342</v>
      </c>
      <c r="B28" s="28">
        <v>9.167337061E9</v>
      </c>
      <c r="C28" s="20"/>
      <c r="D28" s="20"/>
      <c r="E28" s="28" t="s">
        <v>297</v>
      </c>
      <c r="F28" s="20"/>
      <c r="G28" s="20"/>
      <c r="H28" s="28" t="s">
        <v>343</v>
      </c>
      <c r="I28" s="28" t="s">
        <v>343</v>
      </c>
      <c r="J28" s="28" t="s">
        <v>343</v>
      </c>
      <c r="K28" s="28" t="s">
        <v>343</v>
      </c>
      <c r="L28" s="28" t="s">
        <v>343</v>
      </c>
      <c r="M28" s="28" t="s">
        <v>343</v>
      </c>
      <c r="N28" s="28" t="s">
        <v>343</v>
      </c>
      <c r="O28" s="20"/>
      <c r="P28" s="20"/>
      <c r="Q28" s="20"/>
      <c r="R28" s="20"/>
      <c r="S28" s="20"/>
      <c r="T28" s="20"/>
      <c r="U28" s="20"/>
      <c r="V28" s="20"/>
      <c r="W28" s="20"/>
      <c r="X28" s="44"/>
      <c r="Y28" s="44"/>
    </row>
    <row r="29">
      <c r="A29" s="53" t="s">
        <v>344</v>
      </c>
      <c r="B29" s="53">
        <v>8.9166281062E10</v>
      </c>
      <c r="C29" s="20"/>
      <c r="D29" s="20"/>
      <c r="E29" s="28"/>
      <c r="F29" s="20"/>
      <c r="G29" s="20"/>
      <c r="H29" s="20"/>
      <c r="I29" s="20"/>
      <c r="J29" s="28"/>
      <c r="K29" s="28" t="s">
        <v>345</v>
      </c>
      <c r="L29" s="28" t="s">
        <v>346</v>
      </c>
      <c r="M29" s="20"/>
      <c r="N29" s="20"/>
      <c r="O29" s="28" t="s">
        <v>347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53" t="s">
        <v>348</v>
      </c>
      <c r="B30" s="53" t="s">
        <v>349</v>
      </c>
      <c r="C30" s="20"/>
      <c r="D30" s="20"/>
      <c r="E30" s="28"/>
      <c r="F30" s="20"/>
      <c r="G30" s="20"/>
      <c r="H30" s="20"/>
      <c r="I30" s="20"/>
      <c r="J30" s="28"/>
      <c r="K30" s="28"/>
      <c r="L30" s="28"/>
      <c r="M30" s="20"/>
      <c r="N30" s="20"/>
      <c r="O30" s="28" t="s">
        <v>350</v>
      </c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53" t="s">
        <v>351</v>
      </c>
      <c r="B31" s="53">
        <f>79852984874</f>
        <v>79852984874</v>
      </c>
      <c r="C31" s="20"/>
      <c r="D31" s="20" t="s">
        <v>339</v>
      </c>
      <c r="E31" s="28"/>
      <c r="F31" s="20"/>
      <c r="G31" s="20"/>
      <c r="H31" s="20"/>
      <c r="I31" s="20"/>
      <c r="J31" s="28"/>
      <c r="K31" s="28" t="s">
        <v>230</v>
      </c>
      <c r="L31" s="28" t="s">
        <v>352</v>
      </c>
      <c r="M31" s="20"/>
      <c r="N31" s="20"/>
      <c r="O31" s="20"/>
      <c r="P31" s="20"/>
      <c r="Q31" s="20"/>
      <c r="R31" s="28"/>
      <c r="S31" s="20"/>
      <c r="T31" s="20"/>
      <c r="U31" s="20"/>
      <c r="V31" s="20"/>
      <c r="W31" s="20"/>
      <c r="X31" s="44"/>
      <c r="Y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62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62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62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62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62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62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62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62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62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62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62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62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62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62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62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62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62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62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62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62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62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62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62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62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62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62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62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62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62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62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62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62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62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62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62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62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62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62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62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62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62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62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62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62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62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62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62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62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62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62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62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62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62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62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62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62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62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62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62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62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62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62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62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62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62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62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62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62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62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62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62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62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62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62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62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62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62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62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62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62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62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62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62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62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62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62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62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62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62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62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62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62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62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62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62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62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62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62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62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62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62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62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62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62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62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62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62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62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62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62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62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62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62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62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62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62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62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62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62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62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62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62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62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62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62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62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62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62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62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62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62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62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62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62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62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62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62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62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62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62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62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62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62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62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62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62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62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62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62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62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62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62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62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62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62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62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62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62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62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62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62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62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62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62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62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62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62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62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62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62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62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62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62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62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62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62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62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62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62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62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62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62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62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62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62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62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62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62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62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62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62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62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62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62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62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62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62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62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62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62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62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62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62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62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62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62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62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62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62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62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62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62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62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62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62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62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62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62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62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62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62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62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62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62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62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62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62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62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62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62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62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62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62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62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62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62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62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62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62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62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62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62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62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62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62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62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62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62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62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62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62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62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62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62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62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62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62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62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62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62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62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62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62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62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62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62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62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62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62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62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62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62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62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62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62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62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62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62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62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62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62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62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62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62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62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62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62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62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62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62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62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62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62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62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62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62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62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62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62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62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62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62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62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62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62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62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62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62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62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62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62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62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62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62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62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62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62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62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62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62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62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62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62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62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62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62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62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62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62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62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62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62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62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62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62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62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62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62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62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62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62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62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62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62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62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62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62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62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62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62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62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62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62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62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62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62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62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62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62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62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62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62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62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62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62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62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62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62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62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62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62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62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62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62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62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62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62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62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62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62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62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62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62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62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62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62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62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62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62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62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62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62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62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62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62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62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62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62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62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62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62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62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62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62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62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62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62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62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62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62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62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62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62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62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62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62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62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62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62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62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62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62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62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62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62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62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62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62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62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62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62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62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62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62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62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62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62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62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62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62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62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62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62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62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62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62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62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62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62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62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62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62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62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62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62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62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62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62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62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62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62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62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62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62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62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62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62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62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62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62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62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62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62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62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62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62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62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62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62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62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62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62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62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62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62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62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62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62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62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62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62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62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62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62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62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62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62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62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62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62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62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62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62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62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62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62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62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62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62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62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62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62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62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62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62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62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62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62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62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62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62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62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62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62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62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62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62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62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62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62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62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62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62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62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62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62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62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62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62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62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62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62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62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62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62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62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62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62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62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62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62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62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62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62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62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62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62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62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62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62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62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62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62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62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62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62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62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62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62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62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62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62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62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62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62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62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62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62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62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62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62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62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62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62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62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62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62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62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62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62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62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62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62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62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62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62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62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62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62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62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62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62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62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62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62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62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62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62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62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62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62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62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62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62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62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62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62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62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62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62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62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62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62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62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62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62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62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62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62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62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62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62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62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62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62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62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62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62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62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62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62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62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62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62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62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62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62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62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62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62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62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62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62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62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62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62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62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62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62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62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62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62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62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62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62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62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62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62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62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62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62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62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62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62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62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62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62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62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62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62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62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62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62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62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62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62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62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62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62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62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62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62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62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62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62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62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62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62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62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62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62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62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62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62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62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62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62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62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62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62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62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62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62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62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62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62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62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62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62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62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62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62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62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62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62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62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62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62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62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62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62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62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62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62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62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62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62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62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62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62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62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62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62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62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62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62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62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62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62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62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62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62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62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62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62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62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62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62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62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62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62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62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62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62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62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62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62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62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62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62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62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62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62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62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62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62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62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62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62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62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62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62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62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62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62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62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62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62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62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62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62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62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62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62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62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62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62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62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62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62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62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62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62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62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62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62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62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62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62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62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62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62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62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62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62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62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62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62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62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62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62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62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62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62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62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62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62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62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62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62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62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62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62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62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62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62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62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62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62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62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62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62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62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62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62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62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62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62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62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62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62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62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62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62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62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62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62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62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62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62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62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62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62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62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62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62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62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62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62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62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62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62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62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62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62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62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62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62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62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62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62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62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62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62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62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62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62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62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62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62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62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62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62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62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62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62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62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62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62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62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62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62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62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62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62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62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62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62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62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62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62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62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62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62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62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62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62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62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62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62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62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62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62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62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62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62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62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62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62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62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62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62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62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62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62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62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62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62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62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62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62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62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62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62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62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62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62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62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62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</sheetData>
  <mergeCells count="3">
    <mergeCell ref="A1:D1"/>
    <mergeCell ref="E1:F1"/>
    <mergeCell ref="A2:D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13"/>
    <col customWidth="1" min="2" max="2" width="13.5"/>
    <col customWidth="1" min="3" max="3" width="13.0"/>
    <col customWidth="1" min="4" max="4" width="18.38"/>
    <col customWidth="1" min="5" max="5" width="9.0"/>
    <col customWidth="1" min="6" max="6" width="9.63"/>
    <col customWidth="1" min="7" max="7" width="14.88"/>
    <col customWidth="1" min="8" max="8" width="30.5"/>
    <col customWidth="1" min="9" max="9" width="25.0"/>
    <col customWidth="1" min="10" max="10" width="14.88"/>
    <col customWidth="1" min="11" max="11" width="12.25"/>
  </cols>
  <sheetData>
    <row r="1">
      <c r="A1" s="64"/>
      <c r="B1" s="64" t="s">
        <v>353</v>
      </c>
      <c r="E1" s="65"/>
      <c r="F1" s="65"/>
      <c r="G1" s="65"/>
      <c r="H1" s="43"/>
      <c r="I1" s="65"/>
      <c r="J1" s="65"/>
      <c r="K1" s="65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>
      <c r="A2" s="65"/>
      <c r="B2" s="65"/>
      <c r="C2" s="65"/>
      <c r="D2" s="65"/>
      <c r="E2" s="65"/>
      <c r="F2" s="65"/>
      <c r="G2" s="65"/>
      <c r="H2" s="43"/>
      <c r="I2" s="65"/>
      <c r="J2" s="65"/>
      <c r="K2" s="65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</row>
    <row r="3">
      <c r="A3" s="67" t="s">
        <v>354</v>
      </c>
      <c r="B3" s="68" t="s">
        <v>355</v>
      </c>
      <c r="C3" s="69" t="s">
        <v>356</v>
      </c>
      <c r="D3" s="69" t="s">
        <v>357</v>
      </c>
      <c r="E3" s="69" t="s">
        <v>358</v>
      </c>
      <c r="F3" s="69" t="s">
        <v>359</v>
      </c>
      <c r="G3" s="69" t="s">
        <v>360</v>
      </c>
      <c r="H3" s="70" t="s">
        <v>361</v>
      </c>
      <c r="I3" s="70" t="s">
        <v>362</v>
      </c>
      <c r="J3" s="71" t="s">
        <v>363</v>
      </c>
      <c r="K3" s="68" t="s">
        <v>364</v>
      </c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</row>
    <row r="4">
      <c r="A4" s="72" t="s">
        <v>365</v>
      </c>
      <c r="B4" s="73">
        <v>45992.0</v>
      </c>
      <c r="C4" s="74">
        <v>0.0</v>
      </c>
      <c r="D4" s="74">
        <v>1.0</v>
      </c>
      <c r="E4" s="74">
        <v>0.0</v>
      </c>
      <c r="F4" s="74">
        <v>0.0</v>
      </c>
      <c r="G4" s="74">
        <f t="shared" ref="G4:G9" si="1">SUM(C4:F4)</f>
        <v>1</v>
      </c>
      <c r="H4" s="28"/>
      <c r="I4" s="74"/>
      <c r="J4" s="74"/>
      <c r="K4" s="74">
        <v>4.0</v>
      </c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</row>
    <row r="5" hidden="1">
      <c r="A5" s="75"/>
      <c r="B5" s="73">
        <v>45993.0</v>
      </c>
      <c r="C5" s="74">
        <v>1.0</v>
      </c>
      <c r="D5" s="74">
        <v>1.0</v>
      </c>
      <c r="E5" s="74">
        <v>3.0</v>
      </c>
      <c r="F5" s="74">
        <v>0.0</v>
      </c>
      <c r="G5" s="74">
        <f t="shared" si="1"/>
        <v>5</v>
      </c>
      <c r="H5" s="28"/>
      <c r="I5" s="74"/>
      <c r="J5" s="74"/>
      <c r="K5" s="74">
        <v>1.0</v>
      </c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</row>
    <row r="6" hidden="1">
      <c r="A6" s="75"/>
      <c r="B6" s="73">
        <v>45994.0</v>
      </c>
      <c r="C6" s="74">
        <v>1.0</v>
      </c>
      <c r="D6" s="74">
        <v>1.0</v>
      </c>
      <c r="E6" s="74">
        <v>2.0</v>
      </c>
      <c r="F6" s="74">
        <v>0.0</v>
      </c>
      <c r="G6" s="74">
        <f t="shared" si="1"/>
        <v>4</v>
      </c>
      <c r="H6" s="28"/>
      <c r="I6" s="74"/>
      <c r="J6" s="74"/>
      <c r="K6" s="74">
        <v>2.0</v>
      </c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</row>
    <row r="7" hidden="1">
      <c r="A7" s="75"/>
      <c r="B7" s="73">
        <v>45995.0</v>
      </c>
      <c r="C7" s="74">
        <v>3.0</v>
      </c>
      <c r="D7" s="74"/>
      <c r="E7" s="74">
        <v>2.0</v>
      </c>
      <c r="F7" s="74">
        <v>0.0</v>
      </c>
      <c r="G7" s="74">
        <f t="shared" si="1"/>
        <v>5</v>
      </c>
      <c r="H7" s="28"/>
      <c r="I7" s="74"/>
      <c r="J7" s="74"/>
      <c r="K7" s="74">
        <v>3.0</v>
      </c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</row>
    <row r="8" hidden="1">
      <c r="A8" s="75"/>
      <c r="B8" s="73">
        <v>45996.0</v>
      </c>
      <c r="C8" s="76">
        <v>1.0</v>
      </c>
      <c r="D8" s="76">
        <v>3.0</v>
      </c>
      <c r="E8" s="76">
        <v>3.0</v>
      </c>
      <c r="F8" s="76">
        <v>0.0</v>
      </c>
      <c r="G8" s="76">
        <f t="shared" si="1"/>
        <v>7</v>
      </c>
      <c r="H8" s="53"/>
      <c r="I8" s="76"/>
      <c r="J8" s="76"/>
      <c r="K8" s="76">
        <v>4.3</v>
      </c>
      <c r="L8" s="77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</row>
    <row r="9" hidden="1">
      <c r="A9" s="75"/>
      <c r="B9" s="73">
        <v>45997.0</v>
      </c>
      <c r="C9" s="76">
        <v>2.0</v>
      </c>
      <c r="D9" s="76">
        <v>1.0</v>
      </c>
      <c r="E9" s="76">
        <v>5.0</v>
      </c>
      <c r="F9" s="76">
        <v>0.0</v>
      </c>
      <c r="G9" s="76">
        <f t="shared" si="1"/>
        <v>8</v>
      </c>
      <c r="H9" s="78" t="s">
        <v>366</v>
      </c>
      <c r="I9" s="76">
        <v>7.0</v>
      </c>
      <c r="J9" s="76"/>
      <c r="K9" s="76">
        <v>0.0</v>
      </c>
      <c r="L9" s="77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</row>
    <row r="10" hidden="1">
      <c r="A10" s="75"/>
      <c r="B10" s="73">
        <v>45997.0</v>
      </c>
      <c r="C10" s="76"/>
      <c r="D10" s="76"/>
      <c r="E10" s="79"/>
      <c r="F10" s="76">
        <v>0.0</v>
      </c>
      <c r="G10" s="76"/>
      <c r="H10" s="53" t="s">
        <v>367</v>
      </c>
      <c r="I10" s="76">
        <v>4.0</v>
      </c>
      <c r="J10" s="76"/>
      <c r="K10" s="76">
        <v>0.0</v>
      </c>
      <c r="L10" s="77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</row>
    <row r="11" hidden="1">
      <c r="A11" s="75"/>
      <c r="B11" s="73">
        <v>45998.0</v>
      </c>
      <c r="C11" s="76">
        <v>3.0</v>
      </c>
      <c r="D11" s="76">
        <v>0.0</v>
      </c>
      <c r="E11" s="76">
        <v>2.0</v>
      </c>
      <c r="F11" s="76">
        <v>0.0</v>
      </c>
      <c r="G11" s="76">
        <f t="shared" ref="G11:G18" si="2">SUM(C11:F11)</f>
        <v>5</v>
      </c>
      <c r="H11" s="53" t="s">
        <v>368</v>
      </c>
      <c r="I11" s="76">
        <v>2.0</v>
      </c>
      <c r="J11" s="76"/>
      <c r="K11" s="76">
        <v>4.0</v>
      </c>
      <c r="L11" s="77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</row>
    <row r="12" hidden="1">
      <c r="A12" s="75"/>
      <c r="B12" s="73">
        <v>45999.0</v>
      </c>
      <c r="C12" s="76">
        <v>0.0</v>
      </c>
      <c r="D12" s="76">
        <v>0.0</v>
      </c>
      <c r="E12" s="76">
        <v>2.0</v>
      </c>
      <c r="F12" s="76">
        <v>0.0</v>
      </c>
      <c r="G12" s="76">
        <f t="shared" si="2"/>
        <v>2</v>
      </c>
      <c r="H12" s="53"/>
      <c r="I12" s="76"/>
      <c r="J12" s="76"/>
      <c r="K12" s="76">
        <v>3.0</v>
      </c>
      <c r="L12" s="77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</row>
    <row r="13" hidden="1">
      <c r="A13" s="75"/>
      <c r="B13" s="73">
        <v>46000.0</v>
      </c>
      <c r="C13" s="76">
        <v>1.0</v>
      </c>
      <c r="D13" s="76">
        <v>0.0</v>
      </c>
      <c r="E13" s="76">
        <v>1.0</v>
      </c>
      <c r="F13" s="76">
        <v>0.0</v>
      </c>
      <c r="G13" s="76">
        <f t="shared" si="2"/>
        <v>2</v>
      </c>
      <c r="H13" s="53"/>
      <c r="I13" s="76"/>
      <c r="J13" s="76"/>
      <c r="K13" s="76">
        <v>0.0</v>
      </c>
      <c r="L13" s="77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</row>
    <row r="14" hidden="1">
      <c r="A14" s="75"/>
      <c r="B14" s="73">
        <v>46001.0</v>
      </c>
      <c r="C14" s="76">
        <v>1.0</v>
      </c>
      <c r="D14" s="76">
        <v>2.0</v>
      </c>
      <c r="E14" s="76">
        <v>2.0</v>
      </c>
      <c r="F14" s="76">
        <v>0.0</v>
      </c>
      <c r="G14" s="76">
        <f t="shared" si="2"/>
        <v>5</v>
      </c>
      <c r="H14" s="53"/>
      <c r="I14" s="76"/>
      <c r="J14" s="76"/>
      <c r="K14" s="76">
        <v>3.0</v>
      </c>
      <c r="L14" s="77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</row>
    <row r="15" hidden="1">
      <c r="A15" s="75"/>
      <c r="B15" s="73">
        <v>46002.0</v>
      </c>
      <c r="C15" s="76">
        <v>0.0</v>
      </c>
      <c r="D15" s="76">
        <v>0.0</v>
      </c>
      <c r="E15" s="76">
        <v>1.0</v>
      </c>
      <c r="F15" s="76">
        <v>0.0</v>
      </c>
      <c r="G15" s="76">
        <f t="shared" si="2"/>
        <v>1</v>
      </c>
      <c r="H15" s="53"/>
      <c r="I15" s="76"/>
      <c r="J15" s="76"/>
      <c r="K15" s="76">
        <v>6.5</v>
      </c>
      <c r="L15" s="77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</row>
    <row r="16" hidden="1">
      <c r="A16" s="75"/>
      <c r="B16" s="73">
        <v>46003.0</v>
      </c>
      <c r="C16" s="76">
        <v>1.0</v>
      </c>
      <c r="D16" s="76">
        <v>0.0</v>
      </c>
      <c r="E16" s="76">
        <v>2.0</v>
      </c>
      <c r="F16" s="76">
        <v>0.0</v>
      </c>
      <c r="G16" s="76">
        <f t="shared" si="2"/>
        <v>3</v>
      </c>
      <c r="H16" s="53"/>
      <c r="I16" s="76"/>
      <c r="J16" s="76"/>
      <c r="K16" s="76">
        <v>0.0</v>
      </c>
      <c r="L16" s="77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</row>
    <row r="17" hidden="1">
      <c r="A17" s="75"/>
      <c r="B17" s="73">
        <v>46004.0</v>
      </c>
      <c r="C17" s="76"/>
      <c r="D17" s="79"/>
      <c r="E17" s="76"/>
      <c r="F17" s="79"/>
      <c r="G17" s="76">
        <f t="shared" si="2"/>
        <v>0</v>
      </c>
      <c r="H17" s="53" t="s">
        <v>369</v>
      </c>
      <c r="I17" s="76">
        <v>3.0</v>
      </c>
      <c r="J17" s="76">
        <v>2.0</v>
      </c>
      <c r="K17" s="76">
        <v>2.0</v>
      </c>
      <c r="L17" s="77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</row>
    <row r="18" hidden="1">
      <c r="A18" s="75"/>
      <c r="B18" s="73">
        <v>46004.0</v>
      </c>
      <c r="C18" s="76">
        <v>3.0</v>
      </c>
      <c r="D18" s="76">
        <v>1.0</v>
      </c>
      <c r="E18" s="76">
        <v>1.0</v>
      </c>
      <c r="F18" s="76">
        <v>0.0</v>
      </c>
      <c r="G18" s="76">
        <f t="shared" si="2"/>
        <v>5</v>
      </c>
      <c r="H18" s="28" t="s">
        <v>366</v>
      </c>
      <c r="I18" s="76">
        <v>8.0</v>
      </c>
      <c r="J18" s="76"/>
      <c r="K18" s="76">
        <v>0.0</v>
      </c>
      <c r="L18" s="77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</row>
    <row r="19" hidden="1">
      <c r="A19" s="75"/>
      <c r="B19" s="73">
        <v>46004.0</v>
      </c>
      <c r="C19" s="76"/>
      <c r="D19" s="76"/>
      <c r="E19" s="76"/>
      <c r="F19" s="76"/>
      <c r="G19" s="76"/>
      <c r="H19" s="53" t="s">
        <v>367</v>
      </c>
      <c r="I19" s="76">
        <v>0.0</v>
      </c>
      <c r="J19" s="76"/>
      <c r="K19" s="76"/>
      <c r="L19" s="77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</row>
    <row r="20" hidden="1">
      <c r="A20" s="75"/>
      <c r="B20" s="73">
        <v>46004.0</v>
      </c>
      <c r="C20" s="79"/>
      <c r="D20" s="79"/>
      <c r="E20" s="79"/>
      <c r="F20" s="79"/>
      <c r="G20" s="76">
        <f t="shared" ref="G20:G21" si="3">SUM(C20:F20)</f>
        <v>0</v>
      </c>
      <c r="H20" s="53" t="s">
        <v>370</v>
      </c>
      <c r="I20" s="76">
        <v>1.0</v>
      </c>
      <c r="J20" s="76"/>
      <c r="K20" s="76">
        <v>0.0</v>
      </c>
      <c r="L20" s="77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</row>
    <row r="21" hidden="1">
      <c r="A21" s="75"/>
      <c r="B21" s="73">
        <v>46005.0</v>
      </c>
      <c r="C21" s="76">
        <v>1.0</v>
      </c>
      <c r="D21" s="76">
        <v>0.0</v>
      </c>
      <c r="E21" s="76">
        <v>5.0</v>
      </c>
      <c r="F21" s="76">
        <v>0.0</v>
      </c>
      <c r="G21" s="76">
        <f t="shared" si="3"/>
        <v>6</v>
      </c>
      <c r="H21" s="53" t="s">
        <v>371</v>
      </c>
      <c r="I21" s="76">
        <v>4.0</v>
      </c>
      <c r="J21" s="76"/>
      <c r="K21" s="76">
        <v>0.0</v>
      </c>
      <c r="L21" s="77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</row>
    <row r="22" hidden="1">
      <c r="A22" s="75"/>
      <c r="B22" s="73">
        <v>46005.0</v>
      </c>
      <c r="C22" s="76"/>
      <c r="D22" s="76"/>
      <c r="E22" s="76"/>
      <c r="F22" s="79"/>
      <c r="G22" s="76"/>
      <c r="H22" s="53" t="s">
        <v>372</v>
      </c>
      <c r="I22" s="76">
        <v>5.0</v>
      </c>
      <c r="J22" s="76"/>
      <c r="K22" s="76">
        <v>0.0</v>
      </c>
      <c r="L22" s="77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</row>
    <row r="23" hidden="1">
      <c r="A23" s="75"/>
      <c r="B23" s="73">
        <v>46006.0</v>
      </c>
      <c r="C23" s="76">
        <v>0.0</v>
      </c>
      <c r="D23" s="76">
        <v>2.0</v>
      </c>
      <c r="E23" s="76">
        <v>0.0</v>
      </c>
      <c r="F23" s="76">
        <v>0.0</v>
      </c>
      <c r="G23" s="76">
        <f t="shared" ref="G23:G37" si="4">SUM(C23:F23)</f>
        <v>2</v>
      </c>
      <c r="H23" s="53"/>
      <c r="I23" s="76"/>
      <c r="J23" s="76"/>
      <c r="K23" s="76">
        <v>1.0</v>
      </c>
      <c r="L23" s="77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</row>
    <row r="24" hidden="1">
      <c r="A24" s="75"/>
      <c r="B24" s="73">
        <v>46007.0</v>
      </c>
      <c r="C24" s="76">
        <v>1.0</v>
      </c>
      <c r="D24" s="76">
        <v>0.0</v>
      </c>
      <c r="E24" s="76">
        <v>1.0</v>
      </c>
      <c r="F24" s="76">
        <v>0.0</v>
      </c>
      <c r="G24" s="76">
        <f t="shared" si="4"/>
        <v>2</v>
      </c>
      <c r="H24" s="53"/>
      <c r="I24" s="76"/>
      <c r="J24" s="76"/>
      <c r="K24" s="76">
        <v>1.5</v>
      </c>
      <c r="L24" s="77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</row>
    <row r="25" hidden="1">
      <c r="A25" s="75"/>
      <c r="B25" s="73">
        <v>46008.0</v>
      </c>
      <c r="C25" s="76">
        <v>2.0</v>
      </c>
      <c r="D25" s="76">
        <v>2.0</v>
      </c>
      <c r="E25" s="76">
        <v>0.0</v>
      </c>
      <c r="F25" s="76">
        <v>0.0</v>
      </c>
      <c r="G25" s="76">
        <f t="shared" si="4"/>
        <v>4</v>
      </c>
      <c r="H25" s="53"/>
      <c r="I25" s="76"/>
      <c r="J25" s="76"/>
      <c r="K25" s="76">
        <v>3.0</v>
      </c>
      <c r="L25" s="77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</row>
    <row r="26" hidden="1">
      <c r="A26" s="75"/>
      <c r="B26" s="73">
        <v>46009.0</v>
      </c>
      <c r="C26" s="76">
        <v>4.0</v>
      </c>
      <c r="D26" s="76">
        <v>0.0</v>
      </c>
      <c r="E26" s="76">
        <v>2.0</v>
      </c>
      <c r="F26" s="76">
        <v>0.0</v>
      </c>
      <c r="G26" s="76">
        <f t="shared" si="4"/>
        <v>6</v>
      </c>
      <c r="H26" s="53"/>
      <c r="I26" s="76"/>
      <c r="J26" s="76"/>
      <c r="K26" s="76">
        <v>1.0</v>
      </c>
      <c r="L26" s="77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</row>
    <row r="27" hidden="1">
      <c r="A27" s="75"/>
      <c r="B27" s="73">
        <v>46010.0</v>
      </c>
      <c r="C27" s="76">
        <v>1.0</v>
      </c>
      <c r="D27" s="76">
        <v>1.0</v>
      </c>
      <c r="E27" s="76">
        <v>6.0</v>
      </c>
      <c r="F27" s="76">
        <v>1.0</v>
      </c>
      <c r="G27" s="76">
        <f t="shared" si="4"/>
        <v>9</v>
      </c>
      <c r="H27" s="53"/>
      <c r="I27" s="76"/>
      <c r="J27" s="76"/>
      <c r="K27" s="76">
        <v>0.0</v>
      </c>
      <c r="L27" s="77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</row>
    <row r="28" hidden="1">
      <c r="A28" s="75"/>
      <c r="B28" s="73">
        <v>46011.0</v>
      </c>
      <c r="C28" s="76">
        <v>3.0</v>
      </c>
      <c r="D28" s="76">
        <v>1.0</v>
      </c>
      <c r="E28" s="76">
        <v>1.0</v>
      </c>
      <c r="F28" s="76">
        <v>0.0</v>
      </c>
      <c r="G28" s="76">
        <f t="shared" si="4"/>
        <v>5</v>
      </c>
      <c r="H28" s="53" t="s">
        <v>373</v>
      </c>
      <c r="I28" s="76">
        <v>4.0</v>
      </c>
      <c r="J28" s="76"/>
      <c r="K28" s="76">
        <v>1.0</v>
      </c>
      <c r="L28" s="77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</row>
    <row r="29" hidden="1">
      <c r="A29" s="75"/>
      <c r="B29" s="73">
        <v>46011.0</v>
      </c>
      <c r="C29" s="80"/>
      <c r="D29" s="80"/>
      <c r="E29" s="80"/>
      <c r="F29" s="80"/>
      <c r="G29" s="76">
        <f t="shared" si="4"/>
        <v>0</v>
      </c>
      <c r="H29" s="28" t="s">
        <v>366</v>
      </c>
      <c r="I29" s="74">
        <v>4.0</v>
      </c>
      <c r="J29" s="74"/>
      <c r="K29" s="80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</row>
    <row r="30" hidden="1">
      <c r="A30" s="75"/>
      <c r="B30" s="73">
        <v>46011.0</v>
      </c>
      <c r="C30" s="80"/>
      <c r="D30" s="80"/>
      <c r="E30" s="80"/>
      <c r="F30" s="80"/>
      <c r="G30" s="76">
        <f t="shared" si="4"/>
        <v>0</v>
      </c>
      <c r="H30" s="28" t="s">
        <v>369</v>
      </c>
      <c r="I30" s="74">
        <v>0.0</v>
      </c>
      <c r="J30" s="74">
        <v>2.0</v>
      </c>
      <c r="K30" s="80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</row>
    <row r="31" hidden="1">
      <c r="A31" s="75"/>
      <c r="B31" s="73">
        <v>46012.0</v>
      </c>
      <c r="C31" s="74">
        <v>5.0</v>
      </c>
      <c r="D31" s="74">
        <v>0.0</v>
      </c>
      <c r="E31" s="74">
        <v>2.0</v>
      </c>
      <c r="F31" s="74">
        <v>0.0</v>
      </c>
      <c r="G31" s="76">
        <f t="shared" si="4"/>
        <v>7</v>
      </c>
      <c r="H31" s="28" t="s">
        <v>374</v>
      </c>
      <c r="I31" s="74">
        <v>3.0</v>
      </c>
      <c r="J31" s="74"/>
      <c r="K31" s="74">
        <v>1.0</v>
      </c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</row>
    <row r="32" hidden="1">
      <c r="A32" s="75"/>
      <c r="B32" s="73">
        <v>46013.0</v>
      </c>
      <c r="C32" s="74">
        <v>0.0</v>
      </c>
      <c r="D32" s="74">
        <v>0.0</v>
      </c>
      <c r="E32" s="74">
        <v>0.0</v>
      </c>
      <c r="F32" s="74">
        <v>0.0</v>
      </c>
      <c r="G32" s="76">
        <f t="shared" si="4"/>
        <v>0</v>
      </c>
      <c r="H32" s="28"/>
      <c r="I32" s="74"/>
      <c r="J32" s="74"/>
      <c r="K32" s="74">
        <v>1.0</v>
      </c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</row>
    <row r="33" hidden="1">
      <c r="A33" s="75"/>
      <c r="B33" s="73">
        <v>46014.0</v>
      </c>
      <c r="C33" s="74">
        <v>1.0</v>
      </c>
      <c r="D33" s="74">
        <v>0.0</v>
      </c>
      <c r="E33" s="74">
        <v>4.0</v>
      </c>
      <c r="F33" s="74">
        <v>0.0</v>
      </c>
      <c r="G33" s="76">
        <f t="shared" si="4"/>
        <v>5</v>
      </c>
      <c r="H33" s="28"/>
      <c r="I33" s="74"/>
      <c r="J33" s="74"/>
      <c r="K33" s="74">
        <v>3.0</v>
      </c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</row>
    <row r="34" hidden="1">
      <c r="A34" s="75"/>
      <c r="B34" s="73">
        <v>46015.0</v>
      </c>
      <c r="C34" s="74">
        <v>1.0</v>
      </c>
      <c r="D34" s="74">
        <v>2.0</v>
      </c>
      <c r="E34" s="74">
        <v>2.0</v>
      </c>
      <c r="F34" s="74">
        <v>0.0</v>
      </c>
      <c r="G34" s="76">
        <f t="shared" si="4"/>
        <v>5</v>
      </c>
      <c r="H34" s="28"/>
      <c r="I34" s="74"/>
      <c r="J34" s="74"/>
      <c r="K34" s="74">
        <v>1.0</v>
      </c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</row>
    <row r="35" hidden="1">
      <c r="A35" s="75"/>
      <c r="B35" s="73">
        <v>46016.0</v>
      </c>
      <c r="C35" s="74">
        <v>1.0</v>
      </c>
      <c r="D35" s="76">
        <v>0.0</v>
      </c>
      <c r="E35" s="74">
        <v>1.0</v>
      </c>
      <c r="F35" s="76">
        <v>0.0</v>
      </c>
      <c r="G35" s="76">
        <f t="shared" si="4"/>
        <v>2</v>
      </c>
      <c r="H35" s="28"/>
      <c r="I35" s="74"/>
      <c r="J35" s="74"/>
      <c r="K35" s="74">
        <v>3.0</v>
      </c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</row>
    <row r="36" hidden="1">
      <c r="A36" s="75"/>
      <c r="B36" s="73">
        <v>46017.0</v>
      </c>
      <c r="C36" s="74">
        <v>1.0</v>
      </c>
      <c r="D36" s="74">
        <v>1.0</v>
      </c>
      <c r="E36" s="74">
        <v>5.0</v>
      </c>
      <c r="F36" s="76">
        <v>0.0</v>
      </c>
      <c r="G36" s="76">
        <f t="shared" si="4"/>
        <v>7</v>
      </c>
      <c r="H36" s="28"/>
      <c r="I36" s="74"/>
      <c r="J36" s="74"/>
      <c r="K36" s="80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</row>
    <row r="37" hidden="1">
      <c r="A37" s="75"/>
      <c r="B37" s="73">
        <v>46018.0</v>
      </c>
      <c r="C37" s="74">
        <v>2.0</v>
      </c>
      <c r="D37" s="74">
        <v>1.0</v>
      </c>
      <c r="E37" s="74">
        <v>2.0</v>
      </c>
      <c r="F37" s="80"/>
      <c r="G37" s="76">
        <f t="shared" si="4"/>
        <v>5</v>
      </c>
      <c r="H37" s="28" t="s">
        <v>375</v>
      </c>
      <c r="I37" s="74">
        <v>6.0</v>
      </c>
      <c r="J37" s="74"/>
      <c r="K37" s="80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</row>
    <row r="38" hidden="1">
      <c r="A38" s="75"/>
      <c r="B38" s="73">
        <v>46018.0</v>
      </c>
      <c r="C38" s="80"/>
      <c r="D38" s="80"/>
      <c r="E38" s="80"/>
      <c r="F38" s="80"/>
      <c r="G38" s="76"/>
      <c r="H38" s="53" t="s">
        <v>373</v>
      </c>
      <c r="I38" s="76">
        <v>2.0</v>
      </c>
      <c r="J38" s="74"/>
      <c r="K38" s="80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</row>
    <row r="39" hidden="1">
      <c r="A39" s="75"/>
      <c r="B39" s="73">
        <v>46018.0</v>
      </c>
      <c r="C39" s="80"/>
      <c r="D39" s="80"/>
      <c r="E39" s="80"/>
      <c r="F39" s="80"/>
      <c r="G39" s="76"/>
      <c r="H39" s="28" t="s">
        <v>366</v>
      </c>
      <c r="I39" s="74">
        <v>4.0</v>
      </c>
      <c r="J39" s="74"/>
      <c r="K39" s="80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</row>
    <row r="40" hidden="1">
      <c r="A40" s="75"/>
      <c r="B40" s="73">
        <v>46018.0</v>
      </c>
      <c r="F40" s="80"/>
      <c r="G40" s="76"/>
      <c r="H40" s="28"/>
      <c r="I40" s="74"/>
      <c r="J40" s="74"/>
      <c r="K40" s="74">
        <v>1.0</v>
      </c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</row>
    <row r="41" hidden="1">
      <c r="A41" s="75"/>
      <c r="B41" s="73">
        <v>46019.0</v>
      </c>
      <c r="C41" s="74">
        <v>1.0</v>
      </c>
      <c r="D41" s="80"/>
      <c r="E41" s="74">
        <v>1.0</v>
      </c>
      <c r="F41" s="80"/>
      <c r="G41" s="76">
        <f t="shared" ref="G41:G44" si="5">SUM(C41:F41)</f>
        <v>2</v>
      </c>
      <c r="H41" s="28" t="s">
        <v>376</v>
      </c>
      <c r="I41" s="74">
        <v>7.0</v>
      </c>
      <c r="J41" s="74"/>
      <c r="K41" s="80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</row>
    <row r="42" hidden="1">
      <c r="A42" s="75"/>
      <c r="B42" s="73">
        <v>46020.0</v>
      </c>
      <c r="C42" s="74">
        <v>1.0</v>
      </c>
      <c r="D42" s="74">
        <v>1.0</v>
      </c>
      <c r="E42" s="74">
        <v>1.0</v>
      </c>
      <c r="F42" s="80"/>
      <c r="G42" s="76">
        <f t="shared" si="5"/>
        <v>3</v>
      </c>
      <c r="H42" s="28"/>
      <c r="I42" s="74"/>
      <c r="J42" s="74"/>
      <c r="K42" s="80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</row>
    <row r="43" hidden="1">
      <c r="A43" s="75"/>
      <c r="B43" s="73">
        <v>46021.0</v>
      </c>
      <c r="C43" s="74">
        <v>1.0</v>
      </c>
      <c r="D43" s="80"/>
      <c r="E43" s="74">
        <v>1.0</v>
      </c>
      <c r="F43" s="80"/>
      <c r="G43" s="76">
        <f t="shared" si="5"/>
        <v>2</v>
      </c>
      <c r="H43" s="20"/>
      <c r="I43" s="80"/>
      <c r="J43" s="80"/>
      <c r="K43" s="74">
        <v>1.0</v>
      </c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</row>
    <row r="44" hidden="1">
      <c r="A44" s="75"/>
      <c r="B44" s="73">
        <v>46022.0</v>
      </c>
      <c r="C44" s="74">
        <v>1.0</v>
      </c>
      <c r="D44" s="80"/>
      <c r="E44" s="80"/>
      <c r="F44" s="80"/>
      <c r="G44" s="76">
        <f t="shared" si="5"/>
        <v>1</v>
      </c>
      <c r="H44" s="20"/>
      <c r="I44" s="80"/>
      <c r="J44" s="80"/>
      <c r="K44" s="80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</row>
    <row r="45" ht="29.25" hidden="1" customHeight="1">
      <c r="A45" s="81" t="s">
        <v>377</v>
      </c>
      <c r="B45" s="82" t="s">
        <v>378</v>
      </c>
      <c r="C45" s="82">
        <f t="shared" ref="C45:K45" si="6">SUM(C4:C44)</f>
        <v>44</v>
      </c>
      <c r="D45" s="82">
        <f t="shared" si="6"/>
        <v>21</v>
      </c>
      <c r="E45" s="82">
        <f t="shared" si="6"/>
        <v>60</v>
      </c>
      <c r="F45" s="82">
        <f t="shared" si="6"/>
        <v>1</v>
      </c>
      <c r="G45" s="82">
        <f t="shared" si="6"/>
        <v>126</v>
      </c>
      <c r="H45" s="83">
        <f t="shared" si="6"/>
        <v>0</v>
      </c>
      <c r="I45" s="82">
        <f t="shared" si="6"/>
        <v>64</v>
      </c>
      <c r="J45" s="82">
        <f t="shared" si="6"/>
        <v>4</v>
      </c>
      <c r="K45" s="82">
        <f t="shared" si="6"/>
        <v>51.3</v>
      </c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</row>
    <row r="46">
      <c r="A46" s="72" t="s">
        <v>379</v>
      </c>
      <c r="B46" s="84">
        <v>46023.0</v>
      </c>
      <c r="C46" s="74">
        <v>0.0</v>
      </c>
      <c r="D46" s="74">
        <v>0.0</v>
      </c>
      <c r="E46" s="74">
        <v>0.0</v>
      </c>
      <c r="F46" s="74">
        <v>0.0</v>
      </c>
      <c r="G46" s="74">
        <v>0.0</v>
      </c>
      <c r="H46" s="20"/>
      <c r="I46" s="80"/>
      <c r="J46" s="80"/>
      <c r="K46" s="80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</row>
    <row r="47" hidden="1">
      <c r="A47" s="85"/>
      <c r="B47" s="84">
        <v>46024.0</v>
      </c>
      <c r="C47" s="74">
        <v>0.0</v>
      </c>
      <c r="D47" s="74">
        <v>1.0</v>
      </c>
      <c r="E47" s="74">
        <v>0.0</v>
      </c>
      <c r="F47" s="74">
        <v>0.0</v>
      </c>
      <c r="G47" s="76">
        <f t="shared" ref="G47:G55" si="7">SUM(C47:F47)</f>
        <v>1</v>
      </c>
      <c r="H47" s="20"/>
      <c r="I47" s="80"/>
      <c r="J47" s="80"/>
      <c r="K47" s="80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</row>
    <row r="48" hidden="1">
      <c r="A48" s="85"/>
      <c r="B48" s="84">
        <v>46025.0</v>
      </c>
      <c r="C48" s="74">
        <v>1.0</v>
      </c>
      <c r="D48" s="74">
        <v>0.0</v>
      </c>
      <c r="E48" s="74">
        <v>1.0</v>
      </c>
      <c r="F48" s="74">
        <v>1.0</v>
      </c>
      <c r="G48" s="76">
        <f t="shared" si="7"/>
        <v>3</v>
      </c>
      <c r="H48" s="20"/>
      <c r="I48" s="80"/>
      <c r="J48" s="80"/>
      <c r="K48" s="80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 hidden="1">
      <c r="A49" s="85"/>
      <c r="B49" s="84">
        <v>46026.0</v>
      </c>
      <c r="C49" s="74">
        <v>2.0</v>
      </c>
      <c r="D49" s="74">
        <v>0.0</v>
      </c>
      <c r="E49" s="74">
        <v>3.0</v>
      </c>
      <c r="F49" s="74">
        <v>0.0</v>
      </c>
      <c r="G49" s="76">
        <f t="shared" si="7"/>
        <v>5</v>
      </c>
      <c r="H49" s="20"/>
      <c r="I49" s="80"/>
      <c r="J49" s="80"/>
      <c r="K49" s="80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 hidden="1">
      <c r="A50" s="85"/>
      <c r="B50" s="84">
        <v>46027.0</v>
      </c>
      <c r="C50" s="74">
        <v>2.0</v>
      </c>
      <c r="D50" s="74">
        <v>1.0</v>
      </c>
      <c r="E50" s="74">
        <v>2.0</v>
      </c>
      <c r="F50" s="74">
        <v>0.0</v>
      </c>
      <c r="G50" s="76">
        <f t="shared" si="7"/>
        <v>5</v>
      </c>
      <c r="H50" s="20"/>
      <c r="I50" s="80"/>
      <c r="J50" s="80"/>
      <c r="K50" s="80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 hidden="1">
      <c r="A51" s="85"/>
      <c r="B51" s="84">
        <v>46028.0</v>
      </c>
      <c r="C51" s="74">
        <v>0.0</v>
      </c>
      <c r="D51" s="74">
        <v>0.0</v>
      </c>
      <c r="E51" s="74">
        <v>1.0</v>
      </c>
      <c r="F51" s="74">
        <v>0.0</v>
      </c>
      <c r="G51" s="76">
        <f t="shared" si="7"/>
        <v>1</v>
      </c>
      <c r="H51" s="20"/>
      <c r="I51" s="80"/>
      <c r="J51" s="80"/>
      <c r="K51" s="74">
        <v>1.0</v>
      </c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</row>
    <row r="52" hidden="1">
      <c r="A52" s="85"/>
      <c r="B52" s="84">
        <v>46029.0</v>
      </c>
      <c r="C52" s="74">
        <v>0.0</v>
      </c>
      <c r="D52" s="74">
        <v>0.0</v>
      </c>
      <c r="E52" s="74">
        <v>0.0</v>
      </c>
      <c r="F52" s="74">
        <v>0.0</v>
      </c>
      <c r="G52" s="76">
        <f t="shared" si="7"/>
        <v>0</v>
      </c>
      <c r="H52" s="20"/>
      <c r="I52" s="80"/>
      <c r="J52" s="80"/>
      <c r="K52" s="80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</row>
    <row r="53" hidden="1">
      <c r="A53" s="85"/>
      <c r="B53" s="84">
        <v>46030.0</v>
      </c>
      <c r="C53" s="74">
        <v>1.0</v>
      </c>
      <c r="D53" s="74">
        <v>0.0</v>
      </c>
      <c r="E53" s="74">
        <v>2.0</v>
      </c>
      <c r="F53" s="74">
        <v>0.0</v>
      </c>
      <c r="G53" s="76">
        <f t="shared" si="7"/>
        <v>3</v>
      </c>
      <c r="H53" s="20"/>
      <c r="I53" s="80"/>
      <c r="J53" s="80"/>
      <c r="K53" s="80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</row>
    <row r="54" hidden="1">
      <c r="A54" s="85"/>
      <c r="B54" s="84">
        <v>46031.0</v>
      </c>
      <c r="C54" s="74">
        <v>0.0</v>
      </c>
      <c r="D54" s="74">
        <v>1.0</v>
      </c>
      <c r="E54" s="74">
        <v>3.0</v>
      </c>
      <c r="F54" s="74">
        <v>0.0</v>
      </c>
      <c r="G54" s="76">
        <f t="shared" si="7"/>
        <v>4</v>
      </c>
      <c r="H54" s="20"/>
      <c r="I54" s="80"/>
      <c r="J54" s="80"/>
      <c r="K54" s="80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</row>
    <row r="55" hidden="1">
      <c r="A55" s="85"/>
      <c r="B55" s="84">
        <v>46032.0</v>
      </c>
      <c r="C55" s="74">
        <v>1.0</v>
      </c>
      <c r="D55" s="74">
        <v>0.0</v>
      </c>
      <c r="E55" s="74">
        <v>0.0</v>
      </c>
      <c r="F55" s="74">
        <v>0.0</v>
      </c>
      <c r="G55" s="76">
        <f t="shared" si="7"/>
        <v>1</v>
      </c>
      <c r="H55" s="86" t="s">
        <v>380</v>
      </c>
      <c r="I55" s="74">
        <v>4.0</v>
      </c>
      <c r="J55" s="80"/>
      <c r="K55" s="74">
        <v>1.0</v>
      </c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</row>
    <row r="56" hidden="1">
      <c r="A56" s="85"/>
      <c r="B56" s="84">
        <v>46032.0</v>
      </c>
      <c r="C56" s="74"/>
      <c r="D56" s="74"/>
      <c r="E56" s="74"/>
      <c r="F56" s="74"/>
      <c r="G56" s="76"/>
      <c r="H56" s="86" t="s">
        <v>381</v>
      </c>
      <c r="I56" s="74">
        <v>0.0</v>
      </c>
      <c r="J56" s="80"/>
      <c r="K56" s="74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</row>
    <row r="57" hidden="1">
      <c r="A57" s="85"/>
      <c r="B57" s="84">
        <v>46033.0</v>
      </c>
      <c r="C57" s="74">
        <v>5.0</v>
      </c>
      <c r="D57" s="74">
        <v>1.0</v>
      </c>
      <c r="E57" s="74">
        <v>4.0</v>
      </c>
      <c r="F57" s="74">
        <v>0.0</v>
      </c>
      <c r="G57" s="76">
        <f t="shared" ref="G57:G65" si="8">SUM(C57:F57)</f>
        <v>10</v>
      </c>
      <c r="H57" s="86"/>
      <c r="I57" s="80"/>
      <c r="J57" s="80"/>
      <c r="K57" s="74">
        <v>3.0</v>
      </c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</row>
    <row r="58" hidden="1">
      <c r="A58" s="85"/>
      <c r="B58" s="84">
        <v>46034.0</v>
      </c>
      <c r="C58" s="74">
        <v>0.0</v>
      </c>
      <c r="D58" s="74">
        <v>0.0</v>
      </c>
      <c r="E58" s="74">
        <v>1.0</v>
      </c>
      <c r="F58" s="74">
        <v>0.0</v>
      </c>
      <c r="G58" s="76">
        <f t="shared" si="8"/>
        <v>1</v>
      </c>
      <c r="H58" s="86"/>
      <c r="I58" s="80"/>
      <c r="J58" s="80"/>
      <c r="K58" s="80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</row>
    <row r="59" hidden="1">
      <c r="A59" s="85"/>
      <c r="B59" s="84">
        <v>46035.0</v>
      </c>
      <c r="C59" s="74">
        <v>1.0</v>
      </c>
      <c r="D59" s="74">
        <v>0.0</v>
      </c>
      <c r="E59" s="74">
        <v>3.0</v>
      </c>
      <c r="F59" s="74">
        <v>0.0</v>
      </c>
      <c r="G59" s="76">
        <f t="shared" si="8"/>
        <v>4</v>
      </c>
      <c r="H59" s="86"/>
      <c r="I59" s="80"/>
      <c r="J59" s="80"/>
      <c r="K59" s="74">
        <v>3.5</v>
      </c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 hidden="1">
      <c r="A60" s="85"/>
      <c r="B60" s="84">
        <v>46036.0</v>
      </c>
      <c r="C60" s="74">
        <v>2.0</v>
      </c>
      <c r="D60" s="74">
        <v>1.0</v>
      </c>
      <c r="E60" s="74">
        <v>3.0</v>
      </c>
      <c r="F60" s="74">
        <v>0.0</v>
      </c>
      <c r="G60" s="76">
        <f t="shared" si="8"/>
        <v>6</v>
      </c>
      <c r="H60" s="86"/>
      <c r="I60" s="80"/>
      <c r="J60" s="80"/>
      <c r="K60" s="74">
        <v>1.0</v>
      </c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</row>
    <row r="61" hidden="1">
      <c r="A61" s="85"/>
      <c r="B61" s="84">
        <v>46037.0</v>
      </c>
      <c r="C61" s="74">
        <v>0.0</v>
      </c>
      <c r="D61" s="74">
        <v>1.0</v>
      </c>
      <c r="E61" s="74">
        <v>0.0</v>
      </c>
      <c r="F61" s="74">
        <v>0.0</v>
      </c>
      <c r="G61" s="76">
        <f t="shared" si="8"/>
        <v>1</v>
      </c>
      <c r="H61" s="86"/>
      <c r="I61" s="80"/>
      <c r="J61" s="80"/>
      <c r="K61" s="74">
        <v>2.0</v>
      </c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</row>
    <row r="62" hidden="1">
      <c r="A62" s="85"/>
      <c r="B62" s="84">
        <v>46038.0</v>
      </c>
      <c r="C62" s="74">
        <v>2.0</v>
      </c>
      <c r="D62" s="74">
        <v>0.0</v>
      </c>
      <c r="E62" s="74">
        <v>0.0</v>
      </c>
      <c r="F62" s="74">
        <v>0.0</v>
      </c>
      <c r="G62" s="76">
        <f t="shared" si="8"/>
        <v>2</v>
      </c>
      <c r="H62" s="86"/>
      <c r="I62" s="80"/>
      <c r="J62" s="80"/>
      <c r="K62" s="74">
        <v>2.5</v>
      </c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</row>
    <row r="63" hidden="1">
      <c r="A63" s="85"/>
      <c r="B63" s="84">
        <v>46039.0</v>
      </c>
      <c r="C63" s="74">
        <v>4.0</v>
      </c>
      <c r="D63" s="74">
        <v>0.0</v>
      </c>
      <c r="E63" s="74">
        <v>4.0</v>
      </c>
      <c r="F63" s="74">
        <v>0.0</v>
      </c>
      <c r="G63" s="76">
        <f t="shared" si="8"/>
        <v>8</v>
      </c>
      <c r="H63" s="86" t="s">
        <v>381</v>
      </c>
      <c r="I63" s="74">
        <v>4.0</v>
      </c>
      <c r="J63" s="80"/>
      <c r="K63" s="74">
        <v>1.0</v>
      </c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</row>
    <row r="64" hidden="1">
      <c r="A64" s="85"/>
      <c r="B64" s="84">
        <v>46040.0</v>
      </c>
      <c r="C64" s="74">
        <v>0.0</v>
      </c>
      <c r="D64" s="74">
        <v>0.0</v>
      </c>
      <c r="E64" s="74">
        <v>0.0</v>
      </c>
      <c r="F64" s="74">
        <v>0.0</v>
      </c>
      <c r="G64" s="76">
        <f t="shared" si="8"/>
        <v>0</v>
      </c>
      <c r="H64" s="86" t="s">
        <v>380</v>
      </c>
      <c r="I64" s="74">
        <v>8.0</v>
      </c>
      <c r="J64" s="80"/>
      <c r="K64" s="87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</row>
    <row r="65" hidden="1">
      <c r="A65" s="85"/>
      <c r="B65" s="84">
        <v>46040.0</v>
      </c>
      <c r="C65" s="74">
        <v>0.0</v>
      </c>
      <c r="D65" s="74">
        <v>0.0</v>
      </c>
      <c r="E65" s="74">
        <v>0.0</v>
      </c>
      <c r="F65" s="74">
        <v>0.0</v>
      </c>
      <c r="G65" s="76">
        <f t="shared" si="8"/>
        <v>0</v>
      </c>
      <c r="H65" s="86" t="s">
        <v>371</v>
      </c>
      <c r="I65" s="88">
        <v>6.0</v>
      </c>
      <c r="J65" s="88"/>
      <c r="K65" s="88">
        <v>5.0</v>
      </c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</row>
    <row r="66" hidden="1">
      <c r="A66" s="85"/>
      <c r="B66" s="84">
        <v>46041.0</v>
      </c>
      <c r="C66" s="74">
        <v>0.0</v>
      </c>
      <c r="D66" s="88">
        <v>1.0</v>
      </c>
      <c r="E66" s="74">
        <v>0.0</v>
      </c>
      <c r="F66" s="74">
        <v>0.0</v>
      </c>
      <c r="G66" s="74">
        <v>0.0</v>
      </c>
      <c r="H66" s="86" t="s">
        <v>382</v>
      </c>
      <c r="I66" s="88">
        <v>0.0</v>
      </c>
      <c r="J66" s="89"/>
      <c r="K66" s="88">
        <v>4.0</v>
      </c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</row>
    <row r="67" hidden="1">
      <c r="A67" s="85"/>
      <c r="B67" s="84">
        <v>46041.0</v>
      </c>
      <c r="C67" s="74">
        <v>0.0</v>
      </c>
      <c r="D67" s="74">
        <v>0.0</v>
      </c>
      <c r="E67" s="74">
        <v>0.0</v>
      </c>
      <c r="F67" s="74">
        <v>0.0</v>
      </c>
      <c r="G67" s="74">
        <v>0.0</v>
      </c>
      <c r="H67" s="86" t="s">
        <v>369</v>
      </c>
      <c r="I67" s="88">
        <v>0.0</v>
      </c>
      <c r="J67" s="89"/>
      <c r="K67" s="88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</row>
    <row r="68" hidden="1">
      <c r="A68" s="85"/>
      <c r="B68" s="84">
        <v>46042.0</v>
      </c>
      <c r="C68" s="74">
        <v>1.0</v>
      </c>
      <c r="D68" s="74">
        <v>0.0</v>
      </c>
      <c r="E68" s="74">
        <v>3.0</v>
      </c>
      <c r="F68" s="74">
        <v>0.0</v>
      </c>
      <c r="G68" s="76">
        <f t="shared" ref="G68:G72" si="9">SUM(C68:F68)</f>
        <v>4</v>
      </c>
      <c r="H68" s="28" t="s">
        <v>383</v>
      </c>
      <c r="I68" s="74">
        <v>0.0</v>
      </c>
      <c r="J68" s="80"/>
      <c r="K68" s="74">
        <v>2.0</v>
      </c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</row>
    <row r="69" hidden="1">
      <c r="A69" s="85"/>
      <c r="B69" s="84">
        <v>46043.0</v>
      </c>
      <c r="C69" s="74">
        <v>3.0</v>
      </c>
      <c r="D69" s="74">
        <v>0.0</v>
      </c>
      <c r="E69" s="74">
        <v>1.0</v>
      </c>
      <c r="F69" s="74">
        <v>0.0</v>
      </c>
      <c r="G69" s="76">
        <f t="shared" si="9"/>
        <v>4</v>
      </c>
      <c r="H69" s="20"/>
      <c r="I69" s="80"/>
      <c r="J69" s="80"/>
      <c r="K69" s="74">
        <v>1.0</v>
      </c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</row>
    <row r="70" hidden="1">
      <c r="A70" s="85"/>
      <c r="B70" s="84">
        <v>46044.0</v>
      </c>
      <c r="C70" s="74">
        <v>1.0</v>
      </c>
      <c r="D70" s="74">
        <v>0.0</v>
      </c>
      <c r="E70" s="74">
        <v>2.0</v>
      </c>
      <c r="F70" s="74">
        <v>0.0</v>
      </c>
      <c r="G70" s="76">
        <f t="shared" si="9"/>
        <v>3</v>
      </c>
      <c r="H70" s="20"/>
      <c r="I70" s="80"/>
      <c r="J70" s="80"/>
      <c r="K70" s="74">
        <v>2.5</v>
      </c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</row>
    <row r="71" hidden="1">
      <c r="A71" s="85"/>
      <c r="B71" s="84">
        <v>46045.0</v>
      </c>
      <c r="C71" s="74">
        <v>1.0</v>
      </c>
      <c r="D71" s="74">
        <v>1.0</v>
      </c>
      <c r="E71" s="74">
        <v>0.0</v>
      </c>
      <c r="F71" s="74">
        <v>0.0</v>
      </c>
      <c r="G71" s="76">
        <f t="shared" si="9"/>
        <v>2</v>
      </c>
      <c r="H71" s="20"/>
      <c r="I71" s="80"/>
      <c r="J71" s="80"/>
      <c r="K71" s="74">
        <v>2.5</v>
      </c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</row>
    <row r="72" hidden="1">
      <c r="A72" s="85"/>
      <c r="B72" s="84">
        <v>46046.0</v>
      </c>
      <c r="C72" s="74">
        <v>3.0</v>
      </c>
      <c r="D72" s="74">
        <v>1.0</v>
      </c>
      <c r="E72" s="74">
        <v>2.0</v>
      </c>
      <c r="F72" s="74">
        <v>0.0</v>
      </c>
      <c r="G72" s="76">
        <f t="shared" si="9"/>
        <v>6</v>
      </c>
      <c r="H72" s="86" t="s">
        <v>381</v>
      </c>
      <c r="I72" s="74">
        <v>5.0</v>
      </c>
      <c r="J72" s="80"/>
      <c r="K72" s="80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</row>
    <row r="73" hidden="1">
      <c r="A73" s="85"/>
      <c r="B73" s="84">
        <v>46046.0</v>
      </c>
      <c r="C73" s="74">
        <v>0.0</v>
      </c>
      <c r="D73" s="74">
        <v>0.0</v>
      </c>
      <c r="E73" s="74">
        <v>0.0</v>
      </c>
      <c r="F73" s="74">
        <v>0.0</v>
      </c>
      <c r="G73" s="74">
        <v>0.0</v>
      </c>
      <c r="H73" s="86" t="s">
        <v>380</v>
      </c>
      <c r="I73" s="74">
        <v>7.0</v>
      </c>
      <c r="J73" s="80"/>
      <c r="K73" s="80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</row>
    <row r="74" hidden="1">
      <c r="A74" s="85"/>
      <c r="B74" s="84">
        <v>46046.0</v>
      </c>
      <c r="C74" s="74">
        <v>0.0</v>
      </c>
      <c r="D74" s="74">
        <v>0.0</v>
      </c>
      <c r="E74" s="74">
        <v>0.0</v>
      </c>
      <c r="F74" s="74">
        <v>0.0</v>
      </c>
      <c r="G74" s="74">
        <v>0.0</v>
      </c>
      <c r="H74" s="28" t="s">
        <v>384</v>
      </c>
      <c r="I74" s="74">
        <v>0.0</v>
      </c>
      <c r="J74" s="80"/>
      <c r="K74" s="80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</row>
    <row r="75" hidden="1">
      <c r="A75" s="85"/>
      <c r="B75" s="84">
        <v>46047.0</v>
      </c>
      <c r="C75" s="74">
        <v>0.0</v>
      </c>
      <c r="D75" s="74">
        <v>0.0</v>
      </c>
      <c r="E75" s="74">
        <v>0.0</v>
      </c>
      <c r="F75" s="74">
        <v>0.0</v>
      </c>
      <c r="G75" s="74">
        <v>0.0</v>
      </c>
      <c r="H75" s="28" t="s">
        <v>385</v>
      </c>
      <c r="I75" s="74">
        <v>0.0</v>
      </c>
      <c r="J75" s="80"/>
      <c r="K75" s="80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</row>
    <row r="76" hidden="1">
      <c r="A76" s="85"/>
      <c r="B76" s="84">
        <v>46047.0</v>
      </c>
      <c r="C76" s="74">
        <v>0.0</v>
      </c>
      <c r="D76" s="74">
        <v>0.0</v>
      </c>
      <c r="E76" s="74">
        <v>0.0</v>
      </c>
      <c r="F76" s="74">
        <v>0.0</v>
      </c>
      <c r="G76" s="76">
        <f t="shared" ref="G76:G84" si="10">SUM(C76:F76)</f>
        <v>0</v>
      </c>
      <c r="H76" s="28" t="s">
        <v>371</v>
      </c>
      <c r="I76" s="74">
        <v>0.0</v>
      </c>
      <c r="J76" s="80"/>
      <c r="K76" s="80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</row>
    <row r="77" hidden="1">
      <c r="A77" s="85"/>
      <c r="B77" s="84">
        <v>46048.0</v>
      </c>
      <c r="C77" s="74">
        <v>0.0</v>
      </c>
      <c r="D77" s="74">
        <v>0.0</v>
      </c>
      <c r="E77" s="74">
        <v>3.0</v>
      </c>
      <c r="F77" s="74">
        <v>0.0</v>
      </c>
      <c r="G77" s="76">
        <f t="shared" si="10"/>
        <v>3</v>
      </c>
      <c r="H77" s="20"/>
      <c r="I77" s="80"/>
      <c r="J77" s="80"/>
      <c r="K77" s="74">
        <v>2.0</v>
      </c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</row>
    <row r="78" hidden="1">
      <c r="A78" s="85"/>
      <c r="B78" s="84">
        <v>46049.0</v>
      </c>
      <c r="C78" s="74">
        <v>1.0</v>
      </c>
      <c r="D78" s="74">
        <v>0.0</v>
      </c>
      <c r="E78" s="74">
        <v>3.0</v>
      </c>
      <c r="F78" s="74">
        <v>1.0</v>
      </c>
      <c r="G78" s="76">
        <f t="shared" si="10"/>
        <v>5</v>
      </c>
      <c r="H78" s="20"/>
      <c r="I78" s="80"/>
      <c r="J78" s="80"/>
      <c r="K78" s="74">
        <v>2.0</v>
      </c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</row>
    <row r="79" hidden="1">
      <c r="A79" s="85"/>
      <c r="B79" s="84">
        <v>46050.0</v>
      </c>
      <c r="C79" s="74">
        <v>1.0</v>
      </c>
      <c r="D79" s="74">
        <v>2.0</v>
      </c>
      <c r="E79" s="74">
        <v>2.0</v>
      </c>
      <c r="F79" s="74">
        <v>0.0</v>
      </c>
      <c r="G79" s="76">
        <f t="shared" si="10"/>
        <v>5</v>
      </c>
      <c r="H79" s="20"/>
      <c r="I79" s="80"/>
      <c r="J79" s="80"/>
      <c r="K79" s="74">
        <v>2.0</v>
      </c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</row>
    <row r="80" hidden="1">
      <c r="A80" s="85"/>
      <c r="B80" s="84">
        <v>46051.0</v>
      </c>
      <c r="C80" s="74">
        <v>0.0</v>
      </c>
      <c r="D80" s="74">
        <v>1.0</v>
      </c>
      <c r="E80" s="74">
        <v>0.0</v>
      </c>
      <c r="F80" s="74">
        <v>0.0</v>
      </c>
      <c r="G80" s="76">
        <f t="shared" si="10"/>
        <v>1</v>
      </c>
      <c r="H80" s="20"/>
      <c r="I80" s="80"/>
      <c r="J80" s="80"/>
      <c r="K80" s="74">
        <v>3.0</v>
      </c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</row>
    <row r="81" hidden="1">
      <c r="A81" s="85"/>
      <c r="B81" s="84">
        <v>46052.0</v>
      </c>
      <c r="C81" s="74">
        <v>0.0</v>
      </c>
      <c r="D81" s="74">
        <v>1.0</v>
      </c>
      <c r="E81" s="74">
        <v>1.0</v>
      </c>
      <c r="F81" s="74">
        <v>0.0</v>
      </c>
      <c r="G81" s="76">
        <f t="shared" si="10"/>
        <v>2</v>
      </c>
      <c r="H81" s="20"/>
      <c r="I81" s="80"/>
      <c r="J81" s="80"/>
      <c r="K81" s="74">
        <v>2.0</v>
      </c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</row>
    <row r="82" hidden="1">
      <c r="A82" s="85"/>
      <c r="B82" s="84">
        <v>46053.0</v>
      </c>
      <c r="C82" s="74">
        <v>4.0</v>
      </c>
      <c r="D82" s="74">
        <v>1.0</v>
      </c>
      <c r="E82" s="74">
        <v>2.0</v>
      </c>
      <c r="F82" s="74">
        <v>0.0</v>
      </c>
      <c r="G82" s="76">
        <f t="shared" si="10"/>
        <v>7</v>
      </c>
      <c r="H82" s="86" t="s">
        <v>381</v>
      </c>
      <c r="I82" s="74">
        <v>2.0</v>
      </c>
      <c r="J82" s="80"/>
      <c r="K82" s="80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</row>
    <row r="83" hidden="1">
      <c r="A83" s="85"/>
      <c r="B83" s="84">
        <v>46053.0</v>
      </c>
      <c r="C83" s="74">
        <v>0.0</v>
      </c>
      <c r="D83" s="74">
        <v>0.0</v>
      </c>
      <c r="E83" s="74">
        <v>0.0</v>
      </c>
      <c r="F83" s="74">
        <v>0.0</v>
      </c>
      <c r="G83" s="76">
        <f t="shared" si="10"/>
        <v>0</v>
      </c>
      <c r="H83" s="86" t="s">
        <v>380</v>
      </c>
      <c r="I83" s="74">
        <v>7.0</v>
      </c>
      <c r="J83" s="80"/>
      <c r="K83" s="80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</row>
    <row r="84" hidden="1">
      <c r="A84" s="85"/>
      <c r="B84" s="84">
        <v>46053.0</v>
      </c>
      <c r="C84" s="74">
        <v>0.0</v>
      </c>
      <c r="D84" s="74">
        <v>0.0</v>
      </c>
      <c r="E84" s="74">
        <v>0.0</v>
      </c>
      <c r="F84" s="74">
        <v>0.0</v>
      </c>
      <c r="G84" s="76">
        <f t="shared" si="10"/>
        <v>0</v>
      </c>
      <c r="H84" s="86" t="s">
        <v>386</v>
      </c>
      <c r="I84" s="74">
        <v>4.0</v>
      </c>
      <c r="J84" s="80"/>
      <c r="K84" s="80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</row>
    <row r="85" ht="29.25" hidden="1" customHeight="1">
      <c r="A85" s="81" t="s">
        <v>387</v>
      </c>
      <c r="B85" s="82" t="s">
        <v>388</v>
      </c>
      <c r="C85" s="82">
        <f t="shared" ref="C85:H85" si="11">SUM(C46:C82)</f>
        <v>36</v>
      </c>
      <c r="D85" s="82">
        <f t="shared" si="11"/>
        <v>14</v>
      </c>
      <c r="E85" s="82">
        <f t="shared" si="11"/>
        <v>46</v>
      </c>
      <c r="F85" s="82">
        <f t="shared" si="11"/>
        <v>2</v>
      </c>
      <c r="G85" s="82">
        <f t="shared" si="11"/>
        <v>97</v>
      </c>
      <c r="H85" s="83">
        <f t="shared" si="11"/>
        <v>0</v>
      </c>
      <c r="I85" s="82">
        <f>SUM(I46:I84)</f>
        <v>47</v>
      </c>
      <c r="J85" s="82">
        <f t="shared" ref="J85:K85" si="12">SUM(J46:J82)</f>
        <v>0</v>
      </c>
      <c r="K85" s="82">
        <f t="shared" si="12"/>
        <v>43</v>
      </c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</row>
    <row r="86">
      <c r="A86" s="72" t="s">
        <v>389</v>
      </c>
      <c r="B86" s="68" t="s">
        <v>389</v>
      </c>
      <c r="C86" s="80"/>
      <c r="D86" s="80"/>
      <c r="E86" s="80"/>
      <c r="F86" s="80"/>
      <c r="G86" s="76"/>
      <c r="H86" s="20"/>
      <c r="I86" s="80"/>
      <c r="J86" s="80"/>
      <c r="K86" s="80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</row>
    <row r="87">
      <c r="A87" s="85"/>
      <c r="B87" s="84">
        <v>46054.0</v>
      </c>
      <c r="C87" s="74">
        <v>5.0</v>
      </c>
      <c r="D87" s="74">
        <v>1.0</v>
      </c>
      <c r="E87" s="74">
        <v>1.0</v>
      </c>
      <c r="F87" s="74">
        <v>0.0</v>
      </c>
      <c r="G87" s="76">
        <f t="shared" ref="G87:G164" si="13">SUM(C87:F87)</f>
        <v>7</v>
      </c>
      <c r="H87" s="28" t="s">
        <v>390</v>
      </c>
      <c r="I87" s="90">
        <v>1.0</v>
      </c>
      <c r="J87" s="74">
        <v>4.0</v>
      </c>
      <c r="K87" s="80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</row>
    <row r="88">
      <c r="A88" s="85"/>
      <c r="B88" s="84">
        <v>46055.0</v>
      </c>
      <c r="C88" s="74">
        <v>0.0</v>
      </c>
      <c r="D88" s="74">
        <v>0.0</v>
      </c>
      <c r="E88" s="74">
        <v>1.0</v>
      </c>
      <c r="F88" s="74">
        <v>0.0</v>
      </c>
      <c r="G88" s="76">
        <f t="shared" si="13"/>
        <v>1</v>
      </c>
      <c r="H88" s="20"/>
      <c r="I88" s="80"/>
      <c r="J88" s="80"/>
      <c r="K88" s="74">
        <v>3.5</v>
      </c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</row>
    <row r="89">
      <c r="A89" s="85"/>
      <c r="B89" s="84">
        <v>46056.0</v>
      </c>
      <c r="C89" s="74">
        <v>1.0</v>
      </c>
      <c r="D89" s="74">
        <v>0.0</v>
      </c>
      <c r="E89" s="74">
        <v>1.0</v>
      </c>
      <c r="F89" s="74">
        <v>0.0</v>
      </c>
      <c r="G89" s="76">
        <f t="shared" si="13"/>
        <v>2</v>
      </c>
      <c r="H89" s="20"/>
      <c r="I89" s="80"/>
      <c r="J89" s="80"/>
      <c r="K89" s="74">
        <v>3.0</v>
      </c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</row>
    <row r="90">
      <c r="A90" s="85"/>
      <c r="B90" s="84">
        <v>46057.0</v>
      </c>
      <c r="C90" s="74">
        <v>1.0</v>
      </c>
      <c r="D90" s="74">
        <v>2.0</v>
      </c>
      <c r="E90" s="74">
        <v>4.0</v>
      </c>
      <c r="F90" s="74">
        <v>0.0</v>
      </c>
      <c r="G90" s="76">
        <f t="shared" si="13"/>
        <v>7</v>
      </c>
      <c r="H90" s="20"/>
      <c r="I90" s="80"/>
      <c r="J90" s="80"/>
      <c r="K90" s="74">
        <v>3.5</v>
      </c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</row>
    <row r="91">
      <c r="A91" s="85"/>
      <c r="B91" s="84">
        <v>46058.0</v>
      </c>
      <c r="C91" s="74">
        <v>2.0</v>
      </c>
      <c r="D91" s="74">
        <v>0.0</v>
      </c>
      <c r="E91" s="74">
        <v>4.0</v>
      </c>
      <c r="F91" s="74">
        <v>0.0</v>
      </c>
      <c r="G91" s="76">
        <f t="shared" si="13"/>
        <v>6</v>
      </c>
      <c r="H91" s="20"/>
      <c r="I91" s="80"/>
      <c r="J91" s="80"/>
      <c r="K91" s="74">
        <v>2.0</v>
      </c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</row>
    <row r="92">
      <c r="A92" s="85"/>
      <c r="B92" s="84">
        <v>46059.0</v>
      </c>
      <c r="C92" s="74">
        <v>0.0</v>
      </c>
      <c r="D92" s="74">
        <v>0.0</v>
      </c>
      <c r="E92" s="74">
        <v>1.0</v>
      </c>
      <c r="F92" s="74">
        <v>0.0</v>
      </c>
      <c r="G92" s="76">
        <f t="shared" si="13"/>
        <v>1</v>
      </c>
      <c r="H92" s="28" t="s">
        <v>391</v>
      </c>
      <c r="I92" s="74">
        <v>6.0</v>
      </c>
      <c r="J92" s="80"/>
      <c r="K92" s="74">
        <v>1.0</v>
      </c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</row>
    <row r="93">
      <c r="A93" s="85"/>
      <c r="B93" s="84">
        <v>46060.0</v>
      </c>
      <c r="C93" s="74">
        <v>2.0</v>
      </c>
      <c r="D93" s="74">
        <v>3.0</v>
      </c>
      <c r="E93" s="74">
        <v>2.0</v>
      </c>
      <c r="F93" s="74">
        <v>0.0</v>
      </c>
      <c r="G93" s="76">
        <f t="shared" si="13"/>
        <v>7</v>
      </c>
      <c r="H93" s="86" t="s">
        <v>381</v>
      </c>
      <c r="I93" s="74">
        <v>5.0</v>
      </c>
      <c r="J93" s="80"/>
      <c r="K93" s="74">
        <v>0.0</v>
      </c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</row>
    <row r="94">
      <c r="A94" s="85"/>
      <c r="B94" s="84">
        <v>46060.0</v>
      </c>
      <c r="C94" s="74">
        <v>0.0</v>
      </c>
      <c r="D94" s="74">
        <v>0.0</v>
      </c>
      <c r="E94" s="74">
        <v>0.0</v>
      </c>
      <c r="F94" s="74">
        <v>0.0</v>
      </c>
      <c r="G94" s="76">
        <f t="shared" si="13"/>
        <v>0</v>
      </c>
      <c r="H94" s="86" t="s">
        <v>380</v>
      </c>
      <c r="I94" s="74">
        <v>4.0</v>
      </c>
      <c r="J94" s="80"/>
      <c r="K94" s="74">
        <v>0.0</v>
      </c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</row>
    <row r="95">
      <c r="A95" s="85"/>
      <c r="B95" s="84">
        <v>46061.0</v>
      </c>
      <c r="C95" s="74">
        <v>1.0</v>
      </c>
      <c r="D95" s="74">
        <v>1.0</v>
      </c>
      <c r="E95" s="74">
        <v>3.0</v>
      </c>
      <c r="F95" s="74">
        <v>1.0</v>
      </c>
      <c r="G95" s="76">
        <f t="shared" si="13"/>
        <v>6</v>
      </c>
      <c r="H95" s="28" t="s">
        <v>392</v>
      </c>
      <c r="I95" s="74">
        <v>0.0</v>
      </c>
      <c r="J95" s="80"/>
      <c r="K95" s="74">
        <v>0.0</v>
      </c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</row>
    <row r="96">
      <c r="A96" s="65"/>
      <c r="B96" s="84">
        <v>46062.0</v>
      </c>
      <c r="C96" s="74">
        <v>1.0</v>
      </c>
      <c r="D96" s="74">
        <v>0.0</v>
      </c>
      <c r="E96" s="74">
        <v>1.0</v>
      </c>
      <c r="F96" s="74">
        <v>1.0</v>
      </c>
      <c r="G96" s="76">
        <f t="shared" si="13"/>
        <v>3</v>
      </c>
      <c r="H96" s="20"/>
      <c r="I96" s="80"/>
      <c r="J96" s="80"/>
      <c r="K96" s="74">
        <v>4.0</v>
      </c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</row>
    <row r="97">
      <c r="A97" s="65"/>
      <c r="B97" s="84">
        <v>46063.0</v>
      </c>
      <c r="C97" s="74">
        <v>1.0</v>
      </c>
      <c r="D97" s="74">
        <v>1.0</v>
      </c>
      <c r="E97" s="74">
        <v>3.0</v>
      </c>
      <c r="F97" s="80"/>
      <c r="G97" s="76">
        <f t="shared" si="13"/>
        <v>5</v>
      </c>
      <c r="H97" s="20"/>
      <c r="I97" s="80"/>
      <c r="J97" s="80"/>
      <c r="K97" s="74">
        <v>3.0</v>
      </c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</row>
    <row r="98">
      <c r="A98" s="65"/>
      <c r="B98" s="84">
        <v>46064.0</v>
      </c>
      <c r="C98" s="74">
        <v>2.0</v>
      </c>
      <c r="D98" s="74">
        <v>0.0</v>
      </c>
      <c r="E98" s="74">
        <v>2.0</v>
      </c>
      <c r="F98" s="74">
        <v>0.0</v>
      </c>
      <c r="G98" s="76">
        <f t="shared" si="13"/>
        <v>4</v>
      </c>
      <c r="H98" s="28" t="s">
        <v>393</v>
      </c>
      <c r="I98" s="74">
        <v>2.0</v>
      </c>
      <c r="J98" s="80"/>
      <c r="K98" s="74">
        <v>1.0</v>
      </c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</row>
    <row r="99">
      <c r="A99" s="65"/>
      <c r="B99" s="84">
        <v>46065.0</v>
      </c>
      <c r="C99" s="74">
        <v>2.0</v>
      </c>
      <c r="D99" s="80"/>
      <c r="E99" s="74">
        <v>2.0</v>
      </c>
      <c r="F99" s="80"/>
      <c r="G99" s="76">
        <f t="shared" si="13"/>
        <v>4</v>
      </c>
      <c r="H99" s="20"/>
      <c r="I99" s="80"/>
      <c r="J99" s="80"/>
      <c r="K99" s="74">
        <v>3.0</v>
      </c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</row>
    <row r="100">
      <c r="A100" s="65"/>
      <c r="B100" s="84">
        <v>46066.0</v>
      </c>
      <c r="C100" s="74">
        <v>0.0</v>
      </c>
      <c r="D100" s="74">
        <v>1.0</v>
      </c>
      <c r="E100" s="74">
        <v>6.0</v>
      </c>
      <c r="F100" s="74">
        <v>0.0</v>
      </c>
      <c r="G100" s="76">
        <f t="shared" si="13"/>
        <v>7</v>
      </c>
      <c r="H100" s="20"/>
      <c r="I100" s="80"/>
      <c r="J100" s="80"/>
      <c r="K100" s="74">
        <v>0.0</v>
      </c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</row>
    <row r="101">
      <c r="A101" s="65"/>
      <c r="B101" s="84">
        <v>46067.0</v>
      </c>
      <c r="C101" s="74">
        <v>4.0</v>
      </c>
      <c r="D101" s="74">
        <v>1.0</v>
      </c>
      <c r="E101" s="74">
        <v>1.0</v>
      </c>
      <c r="F101" s="74">
        <v>0.0</v>
      </c>
      <c r="G101" s="76">
        <f t="shared" si="13"/>
        <v>6</v>
      </c>
      <c r="H101" s="91" t="s">
        <v>381</v>
      </c>
      <c r="I101" s="74">
        <v>6.0</v>
      </c>
      <c r="J101" s="80"/>
      <c r="K101" s="74">
        <v>0.0</v>
      </c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</row>
    <row r="102">
      <c r="A102" s="65"/>
      <c r="B102" s="84">
        <v>46067.0</v>
      </c>
      <c r="C102" s="74">
        <v>0.0</v>
      </c>
      <c r="D102" s="74">
        <v>0.0</v>
      </c>
      <c r="E102" s="74">
        <v>0.0</v>
      </c>
      <c r="F102" s="74">
        <v>0.0</v>
      </c>
      <c r="G102" s="76">
        <f t="shared" si="13"/>
        <v>0</v>
      </c>
      <c r="H102" s="91" t="s">
        <v>380</v>
      </c>
      <c r="I102" s="74">
        <v>3.0</v>
      </c>
      <c r="J102" s="80"/>
      <c r="K102" s="74">
        <v>0.0</v>
      </c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</row>
    <row r="103">
      <c r="A103" s="65"/>
      <c r="B103" s="84">
        <v>46068.0</v>
      </c>
      <c r="C103" s="74">
        <v>1.0</v>
      </c>
      <c r="D103" s="74">
        <v>1.0</v>
      </c>
      <c r="E103" s="74">
        <v>2.0</v>
      </c>
      <c r="F103" s="74">
        <v>0.0</v>
      </c>
      <c r="G103" s="76">
        <f t="shared" si="13"/>
        <v>4</v>
      </c>
      <c r="H103" s="28" t="s">
        <v>394</v>
      </c>
      <c r="I103" s="74">
        <v>2.0</v>
      </c>
      <c r="J103" s="80"/>
      <c r="K103" s="74">
        <v>3.0</v>
      </c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</row>
    <row r="104">
      <c r="A104" s="65"/>
      <c r="B104" s="84">
        <v>46069.0</v>
      </c>
      <c r="C104" s="74">
        <v>1.0</v>
      </c>
      <c r="D104" s="74">
        <v>1.0</v>
      </c>
      <c r="E104" s="74">
        <v>1.0</v>
      </c>
      <c r="F104" s="74">
        <v>0.0</v>
      </c>
      <c r="G104" s="76">
        <f t="shared" si="13"/>
        <v>3</v>
      </c>
      <c r="H104" s="20"/>
      <c r="I104" s="80"/>
      <c r="J104" s="80"/>
      <c r="K104" s="74">
        <v>1.0</v>
      </c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</row>
    <row r="105">
      <c r="A105" s="66"/>
      <c r="B105" s="84">
        <v>46070.0</v>
      </c>
      <c r="C105" s="74">
        <v>2.0</v>
      </c>
      <c r="D105" s="74">
        <v>0.0</v>
      </c>
      <c r="E105" s="74">
        <v>2.0</v>
      </c>
      <c r="F105" s="74">
        <v>0.0</v>
      </c>
      <c r="G105" s="76">
        <f t="shared" si="13"/>
        <v>4</v>
      </c>
      <c r="H105" s="20"/>
      <c r="I105" s="80"/>
      <c r="J105" s="80"/>
      <c r="K105" s="74">
        <v>3.5</v>
      </c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</row>
    <row r="106">
      <c r="A106" s="66"/>
      <c r="B106" s="84">
        <v>46071.0</v>
      </c>
      <c r="C106" s="74">
        <v>1.0</v>
      </c>
      <c r="D106" s="74">
        <v>1.0</v>
      </c>
      <c r="E106" s="74">
        <v>3.0</v>
      </c>
      <c r="F106" s="74">
        <v>0.0</v>
      </c>
      <c r="G106" s="76">
        <f t="shared" si="13"/>
        <v>5</v>
      </c>
      <c r="H106" s="20"/>
      <c r="I106" s="80"/>
      <c r="J106" s="80"/>
      <c r="K106" s="74">
        <v>1.5</v>
      </c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</row>
    <row r="107">
      <c r="A107" s="66"/>
      <c r="B107" s="84">
        <v>46072.0</v>
      </c>
      <c r="C107" s="74">
        <v>2.0</v>
      </c>
      <c r="D107" s="74">
        <v>0.0</v>
      </c>
      <c r="E107" s="74">
        <v>3.0</v>
      </c>
      <c r="F107" s="74">
        <v>0.0</v>
      </c>
      <c r="G107" s="76">
        <f t="shared" si="13"/>
        <v>5</v>
      </c>
      <c r="H107" s="28" t="s">
        <v>395</v>
      </c>
      <c r="I107" s="74" t="s">
        <v>396</v>
      </c>
      <c r="J107" s="80"/>
      <c r="K107" s="74">
        <v>0.0</v>
      </c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</row>
    <row r="108">
      <c r="A108" s="66"/>
      <c r="B108" s="84">
        <v>46073.0</v>
      </c>
      <c r="C108" s="74">
        <v>0.0</v>
      </c>
      <c r="D108" s="74">
        <v>0.0</v>
      </c>
      <c r="E108" s="74">
        <v>2.0</v>
      </c>
      <c r="F108" s="74">
        <v>0.0</v>
      </c>
      <c r="G108" s="76">
        <f t="shared" si="13"/>
        <v>2</v>
      </c>
      <c r="H108" s="20"/>
      <c r="I108" s="80"/>
      <c r="J108" s="80"/>
      <c r="K108" s="74">
        <v>1.0</v>
      </c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</row>
    <row r="109">
      <c r="A109" s="66"/>
      <c r="B109" s="84">
        <v>46074.0</v>
      </c>
      <c r="C109" s="74">
        <v>4.0</v>
      </c>
      <c r="D109" s="74">
        <v>1.0</v>
      </c>
      <c r="E109" s="74">
        <v>4.0</v>
      </c>
      <c r="F109" s="74">
        <v>0.0</v>
      </c>
      <c r="G109" s="76">
        <f t="shared" si="13"/>
        <v>9</v>
      </c>
      <c r="H109" s="91" t="s">
        <v>381</v>
      </c>
      <c r="I109" s="74">
        <v>3.0</v>
      </c>
      <c r="J109" s="80"/>
      <c r="K109" s="74">
        <v>1.0</v>
      </c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</row>
    <row r="110">
      <c r="A110" s="66"/>
      <c r="B110" s="84">
        <v>46074.0</v>
      </c>
      <c r="C110" s="74">
        <v>0.0</v>
      </c>
      <c r="D110" s="74">
        <v>0.0</v>
      </c>
      <c r="E110" s="74">
        <v>0.0</v>
      </c>
      <c r="F110" s="74">
        <v>0.0</v>
      </c>
      <c r="G110" s="76">
        <f t="shared" si="13"/>
        <v>0</v>
      </c>
      <c r="H110" s="91" t="s">
        <v>380</v>
      </c>
      <c r="I110" s="74">
        <v>2.0</v>
      </c>
      <c r="J110" s="80"/>
      <c r="K110" s="80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</row>
    <row r="111">
      <c r="A111" s="66"/>
      <c r="B111" s="84">
        <v>46074.0</v>
      </c>
      <c r="C111" s="74">
        <v>0.0</v>
      </c>
      <c r="D111" s="74">
        <v>0.0</v>
      </c>
      <c r="E111" s="74">
        <v>0.0</v>
      </c>
      <c r="F111" s="74">
        <v>0.0</v>
      </c>
      <c r="G111" s="76">
        <f t="shared" si="13"/>
        <v>0</v>
      </c>
      <c r="H111" s="86" t="s">
        <v>397</v>
      </c>
      <c r="I111" s="74" t="s">
        <v>398</v>
      </c>
      <c r="J111" s="80"/>
      <c r="K111" s="80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</row>
    <row r="112">
      <c r="A112" s="66"/>
      <c r="B112" s="84">
        <v>46074.0</v>
      </c>
      <c r="C112" s="74">
        <v>0.0</v>
      </c>
      <c r="D112" s="74">
        <v>0.0</v>
      </c>
      <c r="E112" s="74">
        <v>0.0</v>
      </c>
      <c r="F112" s="74">
        <v>0.0</v>
      </c>
      <c r="G112" s="76">
        <f t="shared" si="13"/>
        <v>0</v>
      </c>
      <c r="H112" s="86" t="s">
        <v>399</v>
      </c>
      <c r="I112" s="74">
        <v>2.0</v>
      </c>
      <c r="J112" s="80"/>
      <c r="K112" s="80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</row>
    <row r="113">
      <c r="A113" s="66"/>
      <c r="B113" s="84">
        <v>46075.0</v>
      </c>
      <c r="C113" s="74">
        <v>2.0</v>
      </c>
      <c r="D113" s="74">
        <v>0.0</v>
      </c>
      <c r="E113" s="74">
        <v>2.0</v>
      </c>
      <c r="F113" s="74">
        <v>0.0</v>
      </c>
      <c r="G113" s="76">
        <f t="shared" si="13"/>
        <v>4</v>
      </c>
      <c r="H113" s="28" t="s">
        <v>400</v>
      </c>
      <c r="I113" s="74">
        <v>0.0</v>
      </c>
      <c r="J113" s="80"/>
      <c r="K113" s="74">
        <v>3.0</v>
      </c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</row>
    <row r="114">
      <c r="A114" s="66"/>
      <c r="B114" s="84">
        <v>46075.0</v>
      </c>
      <c r="C114" s="74">
        <v>0.0</v>
      </c>
      <c r="D114" s="74">
        <v>0.0</v>
      </c>
      <c r="E114" s="74">
        <v>0.0</v>
      </c>
      <c r="F114" s="74">
        <v>0.0</v>
      </c>
      <c r="G114" s="76">
        <f t="shared" si="13"/>
        <v>0</v>
      </c>
      <c r="H114" s="28" t="s">
        <v>401</v>
      </c>
      <c r="I114" s="74" t="s">
        <v>402</v>
      </c>
      <c r="J114" s="80"/>
      <c r="K114" s="80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</row>
    <row r="115">
      <c r="A115" s="66"/>
      <c r="B115" s="84">
        <v>46076.0</v>
      </c>
      <c r="C115" s="74">
        <v>2.0</v>
      </c>
      <c r="D115" s="74">
        <v>0.0</v>
      </c>
      <c r="E115" s="74">
        <v>1.0</v>
      </c>
      <c r="F115" s="74">
        <v>0.0</v>
      </c>
      <c r="G115" s="76">
        <f t="shared" si="13"/>
        <v>3</v>
      </c>
      <c r="H115" s="20"/>
      <c r="I115" s="80"/>
      <c r="J115" s="80"/>
      <c r="K115" s="80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</row>
    <row r="116">
      <c r="A116" s="66"/>
      <c r="B116" s="84">
        <v>46077.0</v>
      </c>
      <c r="C116" s="74">
        <v>1.0</v>
      </c>
      <c r="D116" s="74">
        <v>1.0</v>
      </c>
      <c r="E116" s="74">
        <v>2.0</v>
      </c>
      <c r="F116" s="74">
        <v>0.0</v>
      </c>
      <c r="G116" s="76">
        <f t="shared" si="13"/>
        <v>4</v>
      </c>
      <c r="H116" s="20"/>
      <c r="I116" s="80"/>
      <c r="J116" s="80"/>
      <c r="K116" s="74">
        <v>2.5</v>
      </c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</row>
    <row r="117">
      <c r="A117" s="66"/>
      <c r="B117" s="84">
        <v>46078.0</v>
      </c>
      <c r="C117" s="74">
        <v>0.0</v>
      </c>
      <c r="D117" s="74">
        <v>0.0</v>
      </c>
      <c r="E117" s="74">
        <v>0.0</v>
      </c>
      <c r="F117" s="74">
        <v>2.0</v>
      </c>
      <c r="G117" s="76">
        <f t="shared" si="13"/>
        <v>2</v>
      </c>
      <c r="H117" s="20"/>
      <c r="I117" s="80"/>
      <c r="J117" s="80"/>
      <c r="K117" s="74">
        <v>3.5</v>
      </c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</row>
    <row r="118">
      <c r="A118" s="66"/>
      <c r="B118" s="84">
        <v>46079.0</v>
      </c>
      <c r="C118" s="74">
        <v>1.0</v>
      </c>
      <c r="D118" s="74">
        <v>0.0</v>
      </c>
      <c r="E118" s="74">
        <v>2.0</v>
      </c>
      <c r="F118" s="74">
        <v>1.0</v>
      </c>
      <c r="G118" s="76">
        <f t="shared" si="13"/>
        <v>4</v>
      </c>
      <c r="H118" s="20"/>
      <c r="I118" s="80"/>
      <c r="J118" s="80"/>
      <c r="K118" s="74">
        <v>2.0</v>
      </c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</row>
    <row r="119">
      <c r="A119" s="66"/>
      <c r="B119" s="84">
        <v>46080.0</v>
      </c>
      <c r="C119" s="74">
        <v>0.0</v>
      </c>
      <c r="D119" s="74">
        <v>1.0</v>
      </c>
      <c r="E119" s="74">
        <v>4.0</v>
      </c>
      <c r="F119" s="74">
        <v>0.0</v>
      </c>
      <c r="G119" s="76">
        <f t="shared" si="13"/>
        <v>5</v>
      </c>
      <c r="H119" s="20"/>
      <c r="I119" s="80"/>
      <c r="J119" s="80"/>
      <c r="K119" s="74">
        <v>1.5</v>
      </c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</row>
    <row r="120">
      <c r="A120" s="66"/>
      <c r="B120" s="84">
        <v>46081.0</v>
      </c>
      <c r="C120" s="74">
        <v>4.0</v>
      </c>
      <c r="D120" s="74">
        <v>1.0</v>
      </c>
      <c r="E120" s="74">
        <v>1.0</v>
      </c>
      <c r="F120" s="80"/>
      <c r="G120" s="76">
        <f t="shared" si="13"/>
        <v>6</v>
      </c>
      <c r="H120" s="91" t="s">
        <v>381</v>
      </c>
      <c r="I120" s="74">
        <v>6.0</v>
      </c>
      <c r="J120" s="80"/>
      <c r="K120" s="74">
        <v>3.0</v>
      </c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</row>
    <row r="121">
      <c r="A121" s="66"/>
      <c r="B121" s="84">
        <v>46081.0</v>
      </c>
      <c r="C121" s="80"/>
      <c r="D121" s="80"/>
      <c r="E121" s="80"/>
      <c r="F121" s="80"/>
      <c r="G121" s="76">
        <f t="shared" si="13"/>
        <v>0</v>
      </c>
      <c r="H121" s="91" t="s">
        <v>380</v>
      </c>
      <c r="I121" s="74">
        <v>4.0</v>
      </c>
      <c r="J121" s="80"/>
      <c r="K121" s="80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</row>
    <row r="122">
      <c r="A122" s="66"/>
      <c r="B122" s="84">
        <v>46081.0</v>
      </c>
      <c r="C122" s="80"/>
      <c r="D122" s="80"/>
      <c r="E122" s="80"/>
      <c r="F122" s="80"/>
      <c r="G122" s="76">
        <f t="shared" si="13"/>
        <v>0</v>
      </c>
      <c r="H122" s="86" t="s">
        <v>403</v>
      </c>
      <c r="I122" s="74">
        <v>0.0</v>
      </c>
      <c r="J122" s="80"/>
      <c r="K122" s="80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</row>
    <row r="123">
      <c r="A123" s="66"/>
      <c r="B123" s="84"/>
      <c r="C123" s="80"/>
      <c r="D123" s="80"/>
      <c r="E123" s="80"/>
      <c r="F123" s="80"/>
      <c r="G123" s="76">
        <f t="shared" si="13"/>
        <v>0</v>
      </c>
      <c r="H123" s="20"/>
      <c r="I123" s="80"/>
      <c r="J123" s="80"/>
      <c r="K123" s="80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</row>
    <row r="124" ht="29.25" customHeight="1">
      <c r="A124" s="81" t="s">
        <v>404</v>
      </c>
      <c r="B124" s="82" t="s">
        <v>378</v>
      </c>
      <c r="C124" s="82">
        <f t="shared" ref="C124:F124" si="14">SUM(C87:C123)</f>
        <v>43</v>
      </c>
      <c r="D124" s="82">
        <f t="shared" si="14"/>
        <v>17</v>
      </c>
      <c r="E124" s="82">
        <f t="shared" si="14"/>
        <v>61</v>
      </c>
      <c r="F124" s="82">
        <f t="shared" si="14"/>
        <v>5</v>
      </c>
      <c r="G124" s="82">
        <f t="shared" si="13"/>
        <v>126</v>
      </c>
      <c r="H124" s="83"/>
      <c r="I124" s="82">
        <f t="shared" ref="I124:K124" si="15">SUM(I87:I123)</f>
        <v>46</v>
      </c>
      <c r="J124" s="82">
        <f t="shared" si="15"/>
        <v>4</v>
      </c>
      <c r="K124" s="82">
        <f t="shared" si="15"/>
        <v>50.5</v>
      </c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</row>
    <row r="125">
      <c r="A125" s="66"/>
      <c r="B125" s="74" t="s">
        <v>160</v>
      </c>
      <c r="C125" s="80"/>
      <c r="D125" s="80"/>
      <c r="E125" s="80"/>
      <c r="F125" s="80"/>
      <c r="G125" s="76">
        <f t="shared" si="13"/>
        <v>0</v>
      </c>
      <c r="H125" s="20"/>
      <c r="I125" s="80"/>
      <c r="J125" s="80"/>
      <c r="K125" s="80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</row>
    <row r="126">
      <c r="A126" s="66"/>
      <c r="B126" s="84">
        <v>46082.0</v>
      </c>
      <c r="C126" s="74">
        <v>2.0</v>
      </c>
      <c r="D126" s="74">
        <v>2.0</v>
      </c>
      <c r="E126" s="74">
        <v>1.0</v>
      </c>
      <c r="F126" s="74">
        <v>0.0</v>
      </c>
      <c r="G126" s="76">
        <f t="shared" si="13"/>
        <v>5</v>
      </c>
      <c r="I126" s="80"/>
      <c r="J126" s="80"/>
      <c r="K126" s="74">
        <v>1.0</v>
      </c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</row>
    <row r="127">
      <c r="A127" s="66"/>
      <c r="B127" s="84">
        <v>46083.0</v>
      </c>
      <c r="C127" s="74">
        <v>0.0</v>
      </c>
      <c r="D127" s="74">
        <v>1.0</v>
      </c>
      <c r="E127" s="74">
        <v>0.0</v>
      </c>
      <c r="F127" s="74">
        <v>0.0</v>
      </c>
      <c r="G127" s="76">
        <f t="shared" si="13"/>
        <v>1</v>
      </c>
      <c r="H127" s="20"/>
      <c r="I127" s="80"/>
      <c r="J127" s="80"/>
      <c r="K127" s="74">
        <v>7.0</v>
      </c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</row>
    <row r="128">
      <c r="A128" s="66"/>
      <c r="B128" s="84">
        <v>46084.0</v>
      </c>
      <c r="C128" s="74">
        <v>1.0</v>
      </c>
      <c r="D128" s="74">
        <v>0.0</v>
      </c>
      <c r="E128" s="74">
        <v>1.0</v>
      </c>
      <c r="F128" s="74">
        <v>0.0</v>
      </c>
      <c r="G128" s="76">
        <f t="shared" si="13"/>
        <v>2</v>
      </c>
      <c r="H128" s="20"/>
      <c r="I128" s="80"/>
      <c r="J128" s="80"/>
      <c r="K128" s="74">
        <v>2.0</v>
      </c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</row>
    <row r="129">
      <c r="A129" s="66"/>
      <c r="B129" s="84">
        <v>46085.0</v>
      </c>
      <c r="C129" s="74">
        <v>0.0</v>
      </c>
      <c r="D129" s="74">
        <v>1.0</v>
      </c>
      <c r="E129" s="74">
        <v>4.0</v>
      </c>
      <c r="F129" s="74">
        <v>0.0</v>
      </c>
      <c r="G129" s="76">
        <f t="shared" si="13"/>
        <v>5</v>
      </c>
      <c r="H129" s="20"/>
      <c r="I129" s="80"/>
      <c r="J129" s="80"/>
      <c r="K129" s="74">
        <v>5.5</v>
      </c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</row>
    <row r="130">
      <c r="A130" s="66"/>
      <c r="B130" s="84">
        <v>46086.0</v>
      </c>
      <c r="C130" s="74">
        <v>1.0</v>
      </c>
      <c r="D130" s="74">
        <v>0.0</v>
      </c>
      <c r="E130" s="74">
        <v>1.0</v>
      </c>
      <c r="F130" s="74">
        <v>1.0</v>
      </c>
      <c r="G130" s="76">
        <f t="shared" si="13"/>
        <v>3</v>
      </c>
      <c r="H130" s="20"/>
      <c r="I130" s="80"/>
      <c r="J130" s="80"/>
      <c r="K130" s="74">
        <v>2.0</v>
      </c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</row>
    <row r="131">
      <c r="A131" s="66"/>
      <c r="B131" s="84">
        <v>46087.0</v>
      </c>
      <c r="C131" s="74">
        <v>1.0</v>
      </c>
      <c r="D131" s="74">
        <v>0.0</v>
      </c>
      <c r="E131" s="74">
        <v>2.0</v>
      </c>
      <c r="F131" s="74">
        <v>0.0</v>
      </c>
      <c r="G131" s="76">
        <f t="shared" si="13"/>
        <v>3</v>
      </c>
      <c r="H131" s="20"/>
      <c r="I131" s="80"/>
      <c r="J131" s="80"/>
      <c r="K131" s="74">
        <v>6.5</v>
      </c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</row>
    <row r="132">
      <c r="A132" s="66"/>
      <c r="B132" s="84">
        <v>46088.0</v>
      </c>
      <c r="C132" s="74">
        <v>4.0</v>
      </c>
      <c r="D132" s="74">
        <v>2.0</v>
      </c>
      <c r="E132" s="74">
        <v>1.0</v>
      </c>
      <c r="F132" s="74">
        <v>0.0</v>
      </c>
      <c r="G132" s="76">
        <f t="shared" si="13"/>
        <v>7</v>
      </c>
      <c r="H132" s="28" t="s">
        <v>405</v>
      </c>
      <c r="I132" s="74">
        <v>5.0</v>
      </c>
      <c r="J132" s="80"/>
      <c r="K132" s="74">
        <v>0.0</v>
      </c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</row>
    <row r="133">
      <c r="A133" s="66"/>
      <c r="B133" s="84">
        <v>46088.0</v>
      </c>
      <c r="C133" s="74">
        <v>0.0</v>
      </c>
      <c r="D133" s="74">
        <v>0.0</v>
      </c>
      <c r="E133" s="74">
        <v>0.0</v>
      </c>
      <c r="F133" s="74">
        <v>0.0</v>
      </c>
      <c r="G133" s="76">
        <f t="shared" si="13"/>
        <v>0</v>
      </c>
      <c r="H133" s="28" t="s">
        <v>406</v>
      </c>
      <c r="I133" s="74">
        <v>4.0</v>
      </c>
      <c r="J133" s="80"/>
      <c r="K133" s="74">
        <v>0.0</v>
      </c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</row>
    <row r="134">
      <c r="A134" s="66"/>
      <c r="B134" s="84">
        <v>46089.0</v>
      </c>
      <c r="C134" s="74">
        <v>1.0</v>
      </c>
      <c r="D134" s="74">
        <v>1.0</v>
      </c>
      <c r="E134" s="74">
        <v>2.0</v>
      </c>
      <c r="F134" s="74">
        <v>0.0</v>
      </c>
      <c r="G134" s="76">
        <f t="shared" si="13"/>
        <v>4</v>
      </c>
      <c r="H134" s="20"/>
      <c r="I134" s="80"/>
      <c r="J134" s="80"/>
      <c r="K134" s="74">
        <v>0.0</v>
      </c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</row>
    <row r="135">
      <c r="A135" s="66"/>
      <c r="B135" s="84">
        <v>46090.0</v>
      </c>
      <c r="C135" s="74">
        <v>0.0</v>
      </c>
      <c r="D135" s="74">
        <v>0.0</v>
      </c>
      <c r="E135" s="74">
        <v>3.0</v>
      </c>
      <c r="F135" s="74">
        <v>0.0</v>
      </c>
      <c r="G135" s="76">
        <f t="shared" si="13"/>
        <v>3</v>
      </c>
      <c r="H135" s="20"/>
      <c r="I135" s="80"/>
      <c r="J135" s="80"/>
      <c r="K135" s="74">
        <v>3.5</v>
      </c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</row>
    <row r="136">
      <c r="A136" s="66"/>
      <c r="B136" s="84">
        <v>46091.0</v>
      </c>
      <c r="C136" s="74">
        <v>2.0</v>
      </c>
      <c r="D136" s="74">
        <v>0.0</v>
      </c>
      <c r="E136" s="74">
        <v>2.0</v>
      </c>
      <c r="F136" s="74">
        <v>0.0</v>
      </c>
      <c r="G136" s="76">
        <f t="shared" si="13"/>
        <v>4</v>
      </c>
      <c r="H136" s="20"/>
      <c r="I136" s="80"/>
      <c r="J136" s="80"/>
      <c r="K136" s="74">
        <v>2.0</v>
      </c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</row>
    <row r="137">
      <c r="A137" s="66"/>
      <c r="B137" s="84">
        <v>46092.0</v>
      </c>
      <c r="C137" s="74">
        <v>1.0</v>
      </c>
      <c r="D137" s="74">
        <v>0.0</v>
      </c>
      <c r="E137" s="74">
        <v>2.0</v>
      </c>
      <c r="F137" s="74">
        <v>0.0</v>
      </c>
      <c r="G137" s="76">
        <f t="shared" si="13"/>
        <v>3</v>
      </c>
      <c r="H137" s="20"/>
      <c r="I137" s="80"/>
      <c r="J137" s="80"/>
      <c r="K137" s="74">
        <v>1.5</v>
      </c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</row>
    <row r="138">
      <c r="A138" s="66"/>
      <c r="B138" s="84">
        <v>46093.0</v>
      </c>
      <c r="C138" s="74">
        <v>2.0</v>
      </c>
      <c r="D138" s="74">
        <v>1.0</v>
      </c>
      <c r="E138" s="74">
        <v>1.0</v>
      </c>
      <c r="F138" s="74">
        <v>0.0</v>
      </c>
      <c r="G138" s="76">
        <f t="shared" si="13"/>
        <v>4</v>
      </c>
      <c r="H138" s="20"/>
      <c r="I138" s="80"/>
      <c r="J138" s="80"/>
      <c r="K138" s="74">
        <v>3.5</v>
      </c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</row>
    <row r="139">
      <c r="A139" s="66"/>
      <c r="B139" s="84">
        <v>46094.0</v>
      </c>
      <c r="C139" s="74">
        <v>0.0</v>
      </c>
      <c r="D139" s="74">
        <v>1.0</v>
      </c>
      <c r="E139" s="74">
        <v>1.0</v>
      </c>
      <c r="F139" s="74">
        <v>0.0</v>
      </c>
      <c r="G139" s="76">
        <f t="shared" si="13"/>
        <v>2</v>
      </c>
      <c r="H139" s="20"/>
      <c r="I139" s="80"/>
      <c r="J139" s="80"/>
      <c r="K139" s="74">
        <v>4.5</v>
      </c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</row>
    <row r="140">
      <c r="A140" s="66"/>
      <c r="B140" s="84">
        <v>46095.0</v>
      </c>
      <c r="C140" s="74">
        <v>3.0</v>
      </c>
      <c r="D140" s="74">
        <v>0.0</v>
      </c>
      <c r="E140" s="74">
        <v>2.0</v>
      </c>
      <c r="F140" s="74">
        <v>0.0</v>
      </c>
      <c r="G140" s="76">
        <f t="shared" si="13"/>
        <v>5</v>
      </c>
      <c r="H140" s="28" t="s">
        <v>405</v>
      </c>
      <c r="I140" s="74">
        <v>5.0</v>
      </c>
      <c r="J140" s="80"/>
      <c r="K140" s="80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</row>
    <row r="141">
      <c r="A141" s="66"/>
      <c r="B141" s="84">
        <v>46095.0</v>
      </c>
      <c r="C141" s="74">
        <v>0.0</v>
      </c>
      <c r="D141" s="74">
        <v>0.0</v>
      </c>
      <c r="E141" s="74">
        <v>0.0</v>
      </c>
      <c r="F141" s="74">
        <v>0.0</v>
      </c>
      <c r="G141" s="76">
        <f t="shared" si="13"/>
        <v>0</v>
      </c>
      <c r="H141" s="28" t="s">
        <v>406</v>
      </c>
      <c r="I141" s="74">
        <v>5.0</v>
      </c>
      <c r="J141" s="80"/>
      <c r="K141" s="80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</row>
    <row r="142">
      <c r="A142" s="66"/>
      <c r="B142" s="84">
        <v>46095.0</v>
      </c>
      <c r="C142" s="74">
        <v>0.0</v>
      </c>
      <c r="D142" s="74">
        <v>0.0</v>
      </c>
      <c r="E142" s="74">
        <v>0.0</v>
      </c>
      <c r="F142" s="74">
        <v>0.0</v>
      </c>
      <c r="G142" s="76">
        <f t="shared" si="13"/>
        <v>0</v>
      </c>
      <c r="H142" s="28" t="s">
        <v>370</v>
      </c>
      <c r="I142" s="74">
        <v>0.0</v>
      </c>
      <c r="J142" s="80"/>
      <c r="K142" s="80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</row>
    <row r="143">
      <c r="A143" s="66"/>
      <c r="B143" s="84">
        <v>46096.0</v>
      </c>
      <c r="C143" s="74">
        <v>5.0</v>
      </c>
      <c r="D143" s="74">
        <v>1.0</v>
      </c>
      <c r="E143" s="74">
        <v>1.0</v>
      </c>
      <c r="F143" s="74">
        <v>0.0</v>
      </c>
      <c r="G143" s="76">
        <f t="shared" si="13"/>
        <v>7</v>
      </c>
      <c r="H143" s="28" t="s">
        <v>401</v>
      </c>
      <c r="I143" s="74">
        <v>6.0</v>
      </c>
      <c r="J143" s="80"/>
      <c r="K143" s="74">
        <v>1.0</v>
      </c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</row>
    <row r="144">
      <c r="A144" s="66"/>
      <c r="B144" s="84">
        <v>46096.0</v>
      </c>
      <c r="C144" s="74">
        <v>0.0</v>
      </c>
      <c r="D144" s="74">
        <v>0.0</v>
      </c>
      <c r="E144" s="74">
        <v>0.0</v>
      </c>
      <c r="F144" s="74">
        <v>0.0</v>
      </c>
      <c r="G144" s="76">
        <f t="shared" si="13"/>
        <v>0</v>
      </c>
      <c r="H144" s="28" t="s">
        <v>407</v>
      </c>
      <c r="I144" s="74">
        <v>0.0</v>
      </c>
      <c r="J144" s="80"/>
      <c r="K144" s="80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</row>
    <row r="145">
      <c r="A145" s="66"/>
      <c r="B145" s="84">
        <v>46097.0</v>
      </c>
      <c r="C145" s="74">
        <v>0.0</v>
      </c>
      <c r="D145" s="74">
        <v>0.0</v>
      </c>
      <c r="E145" s="74">
        <v>0.0</v>
      </c>
      <c r="F145" s="74">
        <v>0.0</v>
      </c>
      <c r="G145" s="76">
        <f t="shared" si="13"/>
        <v>0</v>
      </c>
      <c r="H145" s="28"/>
      <c r="I145" s="80"/>
      <c r="J145" s="80"/>
      <c r="K145" s="74">
        <v>5.5</v>
      </c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</row>
    <row r="146">
      <c r="A146" s="66"/>
      <c r="B146" s="84">
        <v>46098.0</v>
      </c>
      <c r="C146" s="74"/>
      <c r="D146" s="74">
        <v>0.0</v>
      </c>
      <c r="E146" s="74"/>
      <c r="F146" s="74"/>
      <c r="G146" s="76">
        <f t="shared" si="13"/>
        <v>0</v>
      </c>
      <c r="H146" s="28"/>
      <c r="I146" s="80"/>
      <c r="J146" s="80"/>
      <c r="K146" s="74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</row>
    <row r="147">
      <c r="A147" s="66"/>
      <c r="B147" s="84">
        <v>46099.0</v>
      </c>
      <c r="C147" s="74">
        <v>2.0</v>
      </c>
      <c r="D147" s="74">
        <v>0.0</v>
      </c>
      <c r="E147" s="74">
        <v>2.0</v>
      </c>
      <c r="F147" s="74">
        <v>1.0</v>
      </c>
      <c r="G147" s="76">
        <f t="shared" si="13"/>
        <v>5</v>
      </c>
      <c r="H147" s="28" t="s">
        <v>408</v>
      </c>
      <c r="I147" s="80"/>
      <c r="J147" s="80"/>
      <c r="K147" s="74">
        <v>1.5</v>
      </c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</row>
    <row r="148">
      <c r="A148" s="66"/>
      <c r="B148" s="84">
        <v>46100.0</v>
      </c>
      <c r="C148" s="74"/>
      <c r="D148" s="74">
        <v>1.0</v>
      </c>
      <c r="E148" s="74">
        <v>4.0</v>
      </c>
      <c r="F148" s="80"/>
      <c r="G148" s="76">
        <f t="shared" si="13"/>
        <v>5</v>
      </c>
      <c r="H148" s="28"/>
      <c r="I148" s="80"/>
      <c r="J148" s="80"/>
      <c r="K148" s="74">
        <v>4.0</v>
      </c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</row>
    <row r="149">
      <c r="A149" s="66"/>
      <c r="B149" s="84">
        <v>46101.0</v>
      </c>
      <c r="C149" s="80"/>
      <c r="D149" s="80"/>
      <c r="E149" s="74">
        <v>1.0</v>
      </c>
      <c r="F149" s="80"/>
      <c r="G149" s="76">
        <f t="shared" si="13"/>
        <v>1</v>
      </c>
      <c r="H149" s="28"/>
      <c r="I149" s="80"/>
      <c r="J149" s="80"/>
      <c r="K149" s="74">
        <v>7.5</v>
      </c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</row>
    <row r="150">
      <c r="A150" s="66"/>
      <c r="B150" s="84">
        <v>46102.0</v>
      </c>
      <c r="C150" s="74">
        <v>4.0</v>
      </c>
      <c r="D150" s="74"/>
      <c r="E150" s="74"/>
      <c r="F150" s="74"/>
      <c r="G150" s="76">
        <f t="shared" si="13"/>
        <v>4</v>
      </c>
      <c r="H150" s="28" t="s">
        <v>409</v>
      </c>
      <c r="I150" s="74">
        <v>4.0</v>
      </c>
      <c r="J150" s="80"/>
      <c r="K150" s="74">
        <v>3.0</v>
      </c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</row>
    <row r="151">
      <c r="A151" s="66"/>
      <c r="B151" s="84">
        <v>46102.0</v>
      </c>
      <c r="C151" s="80"/>
      <c r="D151" s="80"/>
      <c r="E151" s="80"/>
      <c r="F151" s="80"/>
      <c r="G151" s="76">
        <f t="shared" si="13"/>
        <v>0</v>
      </c>
      <c r="H151" s="28" t="s">
        <v>405</v>
      </c>
      <c r="I151" s="74">
        <v>5.0</v>
      </c>
      <c r="J151" s="80"/>
      <c r="K151" s="80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</row>
    <row r="152">
      <c r="A152" s="66"/>
      <c r="B152" s="84">
        <v>46102.0</v>
      </c>
      <c r="C152" s="80"/>
      <c r="D152" s="80"/>
      <c r="E152" s="80"/>
      <c r="F152" s="80"/>
      <c r="G152" s="76">
        <f t="shared" si="13"/>
        <v>0</v>
      </c>
      <c r="H152" s="28" t="s">
        <v>406</v>
      </c>
      <c r="I152" s="74">
        <v>6.0</v>
      </c>
      <c r="J152" s="80"/>
      <c r="K152" s="80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</row>
    <row r="153">
      <c r="A153" s="66"/>
      <c r="B153" s="84">
        <v>46103.0</v>
      </c>
      <c r="C153" s="74">
        <v>6.0</v>
      </c>
      <c r="D153" s="74">
        <v>1.0</v>
      </c>
      <c r="E153" s="74">
        <v>1.0</v>
      </c>
      <c r="F153" s="80"/>
      <c r="G153" s="76">
        <f t="shared" si="13"/>
        <v>8</v>
      </c>
      <c r="H153" s="28" t="s">
        <v>401</v>
      </c>
      <c r="I153" s="74">
        <v>7.0</v>
      </c>
      <c r="J153" s="80"/>
      <c r="K153" s="74">
        <v>2.5</v>
      </c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</row>
    <row r="154">
      <c r="A154" s="66"/>
      <c r="B154" s="84">
        <v>46103.0</v>
      </c>
      <c r="C154" s="80"/>
      <c r="D154" s="80"/>
      <c r="E154" s="80"/>
      <c r="F154" s="80"/>
      <c r="G154" s="76">
        <f t="shared" si="13"/>
        <v>0</v>
      </c>
      <c r="H154" s="28" t="s">
        <v>410</v>
      </c>
      <c r="I154" s="74">
        <v>0.0</v>
      </c>
      <c r="J154" s="80"/>
      <c r="K154" s="80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</row>
    <row r="155">
      <c r="A155" s="66"/>
      <c r="B155" s="84">
        <v>46104.0</v>
      </c>
      <c r="C155" s="80"/>
      <c r="D155" s="80"/>
      <c r="E155" s="74">
        <v>1.0</v>
      </c>
      <c r="F155" s="80"/>
      <c r="G155" s="76">
        <f t="shared" si="13"/>
        <v>1</v>
      </c>
      <c r="H155" s="28"/>
      <c r="I155" s="80"/>
      <c r="J155" s="80"/>
      <c r="K155" s="74">
        <v>5.5</v>
      </c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</row>
    <row r="156">
      <c r="A156" s="66"/>
      <c r="B156" s="84">
        <v>46105.0</v>
      </c>
      <c r="C156" s="74">
        <v>1.0</v>
      </c>
      <c r="D156" s="74">
        <v>1.0</v>
      </c>
      <c r="E156" s="80"/>
      <c r="F156" s="74">
        <v>1.0</v>
      </c>
      <c r="G156" s="76">
        <f t="shared" si="13"/>
        <v>3</v>
      </c>
      <c r="H156" s="28"/>
      <c r="I156" s="80"/>
      <c r="J156" s="80"/>
      <c r="K156" s="74">
        <v>1.0</v>
      </c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</row>
    <row r="157">
      <c r="A157" s="66"/>
      <c r="B157" s="84">
        <v>46106.0</v>
      </c>
      <c r="C157" s="74">
        <v>1.0</v>
      </c>
      <c r="D157" s="74">
        <v>0.0</v>
      </c>
      <c r="E157" s="74">
        <v>1.0</v>
      </c>
      <c r="F157" s="74">
        <v>0.0</v>
      </c>
      <c r="G157" s="76">
        <f t="shared" si="13"/>
        <v>2</v>
      </c>
      <c r="H157" s="28"/>
      <c r="I157" s="80"/>
      <c r="J157" s="80"/>
      <c r="K157" s="74">
        <v>5.5</v>
      </c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</row>
    <row r="158">
      <c r="A158" s="66"/>
      <c r="B158" s="84">
        <v>46107.0</v>
      </c>
      <c r="C158" s="80"/>
      <c r="D158" s="80"/>
      <c r="E158" s="74">
        <v>4.0</v>
      </c>
      <c r="F158" s="80"/>
      <c r="G158" s="76">
        <f t="shared" si="13"/>
        <v>4</v>
      </c>
      <c r="H158" s="28"/>
      <c r="I158" s="80"/>
      <c r="J158" s="80"/>
      <c r="K158" s="74">
        <v>1.0</v>
      </c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</row>
    <row r="159">
      <c r="A159" s="66"/>
      <c r="B159" s="84">
        <v>46108.0</v>
      </c>
      <c r="C159" s="74">
        <v>1.0</v>
      </c>
      <c r="D159" s="74">
        <v>1.0</v>
      </c>
      <c r="E159" s="74">
        <v>2.0</v>
      </c>
      <c r="F159" s="74">
        <v>0.0</v>
      </c>
      <c r="G159" s="76">
        <f t="shared" si="13"/>
        <v>4</v>
      </c>
      <c r="H159" s="28"/>
      <c r="I159" s="80"/>
      <c r="J159" s="80"/>
      <c r="K159" s="74">
        <v>2.5</v>
      </c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</row>
    <row r="160">
      <c r="A160" s="66"/>
      <c r="B160" s="84">
        <v>46109.0</v>
      </c>
      <c r="C160" s="80"/>
      <c r="D160" s="80"/>
      <c r="E160" s="80"/>
      <c r="F160" s="80"/>
      <c r="G160" s="76">
        <f t="shared" si="13"/>
        <v>0</v>
      </c>
      <c r="H160" s="28" t="s">
        <v>405</v>
      </c>
      <c r="I160" s="80"/>
      <c r="J160" s="80"/>
      <c r="K160" s="80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</row>
    <row r="161">
      <c r="A161" s="66"/>
      <c r="B161" s="84">
        <v>46109.0</v>
      </c>
      <c r="C161" s="80"/>
      <c r="D161" s="80"/>
      <c r="E161" s="80"/>
      <c r="F161" s="80"/>
      <c r="G161" s="76">
        <f t="shared" si="13"/>
        <v>0</v>
      </c>
      <c r="H161" s="28" t="s">
        <v>406</v>
      </c>
      <c r="I161" s="80"/>
      <c r="J161" s="80"/>
      <c r="K161" s="80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</row>
    <row r="162">
      <c r="A162" s="66"/>
      <c r="B162" s="84">
        <v>46109.0</v>
      </c>
      <c r="C162" s="80"/>
      <c r="D162" s="80"/>
      <c r="E162" s="80"/>
      <c r="F162" s="80"/>
      <c r="G162" s="76">
        <f t="shared" si="13"/>
        <v>0</v>
      </c>
      <c r="H162" s="28" t="s">
        <v>411</v>
      </c>
      <c r="I162" s="80"/>
      <c r="J162" s="80"/>
      <c r="K162" s="80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</row>
    <row r="163">
      <c r="A163" s="66"/>
      <c r="B163" s="84">
        <v>46109.0</v>
      </c>
      <c r="C163" s="80"/>
      <c r="D163" s="80"/>
      <c r="E163" s="80"/>
      <c r="F163" s="80"/>
      <c r="G163" s="76">
        <f t="shared" si="13"/>
        <v>0</v>
      </c>
      <c r="H163" s="28" t="s">
        <v>412</v>
      </c>
      <c r="I163" s="80"/>
      <c r="J163" s="80"/>
      <c r="K163" s="80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</row>
    <row r="164">
      <c r="A164" s="66"/>
      <c r="B164" s="84">
        <v>46110.0</v>
      </c>
      <c r="C164" s="80"/>
      <c r="D164" s="80"/>
      <c r="E164" s="80"/>
      <c r="F164" s="80"/>
      <c r="G164" s="76">
        <f t="shared" si="13"/>
        <v>0</v>
      </c>
      <c r="H164" s="28" t="s">
        <v>401</v>
      </c>
      <c r="I164" s="80"/>
      <c r="J164" s="80"/>
      <c r="K164" s="80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</row>
    <row r="165">
      <c r="A165" s="66"/>
      <c r="B165" s="84">
        <v>46110.0</v>
      </c>
      <c r="C165" s="80"/>
      <c r="D165" s="80"/>
      <c r="E165" s="80"/>
      <c r="F165" s="80"/>
      <c r="G165" s="76"/>
      <c r="H165" s="28" t="s">
        <v>413</v>
      </c>
      <c r="I165" s="80"/>
      <c r="J165" s="80"/>
      <c r="K165" s="80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</row>
    <row r="166">
      <c r="A166" s="66"/>
      <c r="B166" s="84">
        <v>46111.0</v>
      </c>
      <c r="C166" s="80"/>
      <c r="D166" s="80"/>
      <c r="E166" s="80"/>
      <c r="F166" s="80"/>
      <c r="G166" s="76">
        <f t="shared" ref="G166:G197" si="16">SUM(C166:F166)</f>
        <v>0</v>
      </c>
      <c r="H166" s="20"/>
      <c r="I166" s="80"/>
      <c r="J166" s="80"/>
      <c r="K166" s="80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</row>
    <row r="167">
      <c r="A167" s="66"/>
      <c r="B167" s="84">
        <v>46112.0</v>
      </c>
      <c r="C167" s="80"/>
      <c r="D167" s="80"/>
      <c r="E167" s="80"/>
      <c r="F167" s="80"/>
      <c r="G167" s="76">
        <f t="shared" si="16"/>
        <v>0</v>
      </c>
      <c r="H167" s="20"/>
      <c r="I167" s="80"/>
      <c r="J167" s="80"/>
      <c r="K167" s="80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</row>
    <row r="168" ht="29.25" customHeight="1">
      <c r="B168" s="82" t="s">
        <v>378</v>
      </c>
      <c r="C168" s="82">
        <f t="shared" ref="C168:F168" si="17">SUM(C129:C167)</f>
        <v>35</v>
      </c>
      <c r="D168" s="82">
        <f t="shared" si="17"/>
        <v>11</v>
      </c>
      <c r="E168" s="82">
        <f t="shared" si="17"/>
        <v>38</v>
      </c>
      <c r="F168" s="82">
        <f t="shared" si="17"/>
        <v>3</v>
      </c>
      <c r="G168" s="82">
        <f t="shared" si="16"/>
        <v>87</v>
      </c>
      <c r="H168" s="83"/>
      <c r="I168" s="82">
        <f t="shared" ref="I168:J168" si="18">SUM(I129:I167)</f>
        <v>47</v>
      </c>
      <c r="J168" s="82">
        <f t="shared" si="18"/>
        <v>0</v>
      </c>
      <c r="K168" s="82">
        <f>SUM(K125:K167)</f>
        <v>79.5</v>
      </c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</row>
    <row r="169">
      <c r="A169" s="81" t="s">
        <v>414</v>
      </c>
      <c r="B169" s="84">
        <v>46054.0</v>
      </c>
      <c r="C169" s="80"/>
      <c r="D169" s="80"/>
      <c r="E169" s="80"/>
      <c r="F169" s="80"/>
      <c r="G169" s="76">
        <f t="shared" si="16"/>
        <v>0</v>
      </c>
      <c r="H169" s="20"/>
      <c r="I169" s="80"/>
      <c r="J169" s="80"/>
      <c r="K169" s="80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</row>
    <row r="170">
      <c r="A170" s="66"/>
      <c r="B170" s="66"/>
      <c r="C170" s="80"/>
      <c r="D170" s="80"/>
      <c r="E170" s="80"/>
      <c r="F170" s="80"/>
      <c r="G170" s="76">
        <f t="shared" si="16"/>
        <v>0</v>
      </c>
      <c r="H170" s="20"/>
      <c r="I170" s="80"/>
      <c r="J170" s="80"/>
      <c r="K170" s="80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</row>
    <row r="171">
      <c r="A171" s="66"/>
      <c r="B171" s="66"/>
      <c r="C171" s="80"/>
      <c r="D171" s="80"/>
      <c r="E171" s="80"/>
      <c r="F171" s="80"/>
      <c r="G171" s="76">
        <f t="shared" si="16"/>
        <v>0</v>
      </c>
      <c r="H171" s="20"/>
      <c r="I171" s="80"/>
      <c r="J171" s="80"/>
      <c r="K171" s="80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</row>
    <row r="172">
      <c r="A172" s="66"/>
      <c r="B172" s="66"/>
      <c r="C172" s="80"/>
      <c r="D172" s="80"/>
      <c r="E172" s="80"/>
      <c r="F172" s="80"/>
      <c r="G172" s="76">
        <f t="shared" si="16"/>
        <v>0</v>
      </c>
      <c r="H172" s="20"/>
      <c r="I172" s="80"/>
      <c r="J172" s="80"/>
      <c r="K172" s="80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</row>
    <row r="173">
      <c r="A173" s="66"/>
      <c r="B173" s="66"/>
      <c r="C173" s="80"/>
      <c r="D173" s="80"/>
      <c r="E173" s="80"/>
      <c r="F173" s="80"/>
      <c r="G173" s="76">
        <f t="shared" si="16"/>
        <v>0</v>
      </c>
      <c r="H173" s="20"/>
      <c r="I173" s="80"/>
      <c r="J173" s="80"/>
      <c r="K173" s="80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</row>
    <row r="174">
      <c r="A174" s="66"/>
      <c r="B174" s="66"/>
      <c r="C174" s="80"/>
      <c r="D174" s="80"/>
      <c r="E174" s="80"/>
      <c r="F174" s="80"/>
      <c r="G174" s="76">
        <f t="shared" si="16"/>
        <v>0</v>
      </c>
      <c r="H174" s="20"/>
      <c r="I174" s="80"/>
      <c r="J174" s="80"/>
      <c r="K174" s="80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</row>
    <row r="175">
      <c r="A175" s="66"/>
      <c r="B175" s="66"/>
      <c r="C175" s="80"/>
      <c r="D175" s="80"/>
      <c r="E175" s="80"/>
      <c r="F175" s="80"/>
      <c r="G175" s="76">
        <f t="shared" si="16"/>
        <v>0</v>
      </c>
      <c r="H175" s="20"/>
      <c r="I175" s="80"/>
      <c r="J175" s="80"/>
      <c r="K175" s="80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</row>
    <row r="176">
      <c r="A176" s="66"/>
      <c r="B176" s="66"/>
      <c r="C176" s="80"/>
      <c r="D176" s="80"/>
      <c r="E176" s="80"/>
      <c r="F176" s="80"/>
      <c r="G176" s="76">
        <f t="shared" si="16"/>
        <v>0</v>
      </c>
      <c r="H176" s="20"/>
      <c r="I176" s="80"/>
      <c r="J176" s="80"/>
      <c r="K176" s="80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</row>
    <row r="177">
      <c r="A177" s="66"/>
      <c r="B177" s="66"/>
      <c r="C177" s="80"/>
      <c r="D177" s="80"/>
      <c r="E177" s="80"/>
      <c r="F177" s="80"/>
      <c r="G177" s="76">
        <f t="shared" si="16"/>
        <v>0</v>
      </c>
      <c r="H177" s="20"/>
      <c r="I177" s="80"/>
      <c r="J177" s="80"/>
      <c r="K177" s="80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</row>
    <row r="178">
      <c r="A178" s="66"/>
      <c r="B178" s="66"/>
      <c r="C178" s="80"/>
      <c r="D178" s="80"/>
      <c r="E178" s="80"/>
      <c r="F178" s="80"/>
      <c r="G178" s="76">
        <f t="shared" si="16"/>
        <v>0</v>
      </c>
      <c r="H178" s="20"/>
      <c r="I178" s="80"/>
      <c r="J178" s="80"/>
      <c r="K178" s="80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</row>
    <row r="179">
      <c r="A179" s="66"/>
      <c r="B179" s="66"/>
      <c r="C179" s="80"/>
      <c r="D179" s="80"/>
      <c r="E179" s="80"/>
      <c r="F179" s="80"/>
      <c r="G179" s="76">
        <f t="shared" si="16"/>
        <v>0</v>
      </c>
      <c r="H179" s="20"/>
      <c r="I179" s="80"/>
      <c r="J179" s="80"/>
      <c r="K179" s="80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</row>
    <row r="180">
      <c r="A180" s="66"/>
      <c r="B180" s="66"/>
      <c r="C180" s="80"/>
      <c r="D180" s="80"/>
      <c r="E180" s="80"/>
      <c r="F180" s="80"/>
      <c r="G180" s="76">
        <f t="shared" si="16"/>
        <v>0</v>
      </c>
      <c r="H180" s="20"/>
      <c r="I180" s="80"/>
      <c r="J180" s="80"/>
      <c r="K180" s="80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</row>
    <row r="181">
      <c r="A181" s="66"/>
      <c r="B181" s="66"/>
      <c r="C181" s="80"/>
      <c r="D181" s="80"/>
      <c r="E181" s="80"/>
      <c r="F181" s="80"/>
      <c r="G181" s="76">
        <f t="shared" si="16"/>
        <v>0</v>
      </c>
      <c r="H181" s="20"/>
      <c r="I181" s="80"/>
      <c r="J181" s="80"/>
      <c r="K181" s="80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</row>
    <row r="182">
      <c r="A182" s="66"/>
      <c r="B182" s="66"/>
      <c r="C182" s="80"/>
      <c r="D182" s="80"/>
      <c r="E182" s="80"/>
      <c r="F182" s="80"/>
      <c r="G182" s="76">
        <f t="shared" si="16"/>
        <v>0</v>
      </c>
      <c r="H182" s="20"/>
      <c r="I182" s="80"/>
      <c r="J182" s="80"/>
      <c r="K182" s="80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</row>
    <row r="183">
      <c r="A183" s="66"/>
      <c r="B183" s="66"/>
      <c r="C183" s="80"/>
      <c r="D183" s="80"/>
      <c r="E183" s="80"/>
      <c r="F183" s="80"/>
      <c r="G183" s="76">
        <f t="shared" si="16"/>
        <v>0</v>
      </c>
      <c r="H183" s="20"/>
      <c r="I183" s="80"/>
      <c r="J183" s="80"/>
      <c r="K183" s="80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</row>
    <row r="184">
      <c r="A184" s="66"/>
      <c r="B184" s="66"/>
      <c r="C184" s="80"/>
      <c r="D184" s="80"/>
      <c r="E184" s="80"/>
      <c r="F184" s="80"/>
      <c r="G184" s="76">
        <f t="shared" si="16"/>
        <v>0</v>
      </c>
      <c r="H184" s="20"/>
      <c r="I184" s="80"/>
      <c r="J184" s="80"/>
      <c r="K184" s="80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</row>
    <row r="185">
      <c r="A185" s="66"/>
      <c r="B185" s="66"/>
      <c r="C185" s="80"/>
      <c r="D185" s="80"/>
      <c r="E185" s="80"/>
      <c r="F185" s="80"/>
      <c r="G185" s="76">
        <f t="shared" si="16"/>
        <v>0</v>
      </c>
      <c r="H185" s="20"/>
      <c r="I185" s="80"/>
      <c r="J185" s="80"/>
      <c r="K185" s="80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</row>
    <row r="186">
      <c r="A186" s="66"/>
      <c r="B186" s="66"/>
      <c r="C186" s="80"/>
      <c r="D186" s="80"/>
      <c r="E186" s="80"/>
      <c r="F186" s="80"/>
      <c r="G186" s="76">
        <f t="shared" si="16"/>
        <v>0</v>
      </c>
      <c r="H186" s="20"/>
      <c r="I186" s="80"/>
      <c r="J186" s="80"/>
      <c r="K186" s="80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</row>
    <row r="187">
      <c r="A187" s="66"/>
      <c r="B187" s="66"/>
      <c r="C187" s="80"/>
      <c r="D187" s="80"/>
      <c r="E187" s="80"/>
      <c r="F187" s="80"/>
      <c r="G187" s="76">
        <f t="shared" si="16"/>
        <v>0</v>
      </c>
      <c r="H187" s="20"/>
      <c r="I187" s="80"/>
      <c r="J187" s="80"/>
      <c r="K187" s="80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</row>
    <row r="188">
      <c r="A188" s="66"/>
      <c r="B188" s="66"/>
      <c r="C188" s="80"/>
      <c r="D188" s="80"/>
      <c r="E188" s="80"/>
      <c r="F188" s="80"/>
      <c r="G188" s="76">
        <f t="shared" si="16"/>
        <v>0</v>
      </c>
      <c r="H188" s="20"/>
      <c r="I188" s="80"/>
      <c r="J188" s="80"/>
      <c r="K188" s="80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</row>
    <row r="189">
      <c r="A189" s="66"/>
      <c r="B189" s="66"/>
      <c r="C189" s="80"/>
      <c r="D189" s="80"/>
      <c r="E189" s="80"/>
      <c r="F189" s="80"/>
      <c r="G189" s="76">
        <f t="shared" si="16"/>
        <v>0</v>
      </c>
      <c r="H189" s="20"/>
      <c r="I189" s="80"/>
      <c r="J189" s="80"/>
      <c r="K189" s="80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</row>
    <row r="190">
      <c r="A190" s="66"/>
      <c r="B190" s="66"/>
      <c r="C190" s="80"/>
      <c r="D190" s="80"/>
      <c r="E190" s="80"/>
      <c r="F190" s="80"/>
      <c r="G190" s="76">
        <f t="shared" si="16"/>
        <v>0</v>
      </c>
      <c r="H190" s="20"/>
      <c r="I190" s="80"/>
      <c r="J190" s="80"/>
      <c r="K190" s="80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</row>
    <row r="191">
      <c r="A191" s="66"/>
      <c r="B191" s="66"/>
      <c r="C191" s="80"/>
      <c r="D191" s="80"/>
      <c r="E191" s="80"/>
      <c r="F191" s="80"/>
      <c r="G191" s="76">
        <f t="shared" si="16"/>
        <v>0</v>
      </c>
      <c r="H191" s="20"/>
      <c r="I191" s="80"/>
      <c r="J191" s="80"/>
      <c r="K191" s="80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</row>
    <row r="192">
      <c r="A192" s="66"/>
      <c r="B192" s="66"/>
      <c r="C192" s="80"/>
      <c r="D192" s="80"/>
      <c r="E192" s="80"/>
      <c r="F192" s="80"/>
      <c r="G192" s="76">
        <f t="shared" si="16"/>
        <v>0</v>
      </c>
      <c r="H192" s="20"/>
      <c r="I192" s="80"/>
      <c r="J192" s="80"/>
      <c r="K192" s="80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</row>
    <row r="193">
      <c r="A193" s="66"/>
      <c r="B193" s="66"/>
      <c r="C193" s="80"/>
      <c r="D193" s="80"/>
      <c r="E193" s="80"/>
      <c r="F193" s="80"/>
      <c r="G193" s="76">
        <f t="shared" si="16"/>
        <v>0</v>
      </c>
      <c r="H193" s="20"/>
      <c r="I193" s="80"/>
      <c r="J193" s="80"/>
      <c r="K193" s="80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</row>
    <row r="194">
      <c r="A194" s="66"/>
      <c r="B194" s="66"/>
      <c r="C194" s="80"/>
      <c r="D194" s="80"/>
      <c r="E194" s="80"/>
      <c r="F194" s="80"/>
      <c r="G194" s="76">
        <f t="shared" si="16"/>
        <v>0</v>
      </c>
      <c r="H194" s="20"/>
      <c r="I194" s="80"/>
      <c r="J194" s="80"/>
      <c r="K194" s="80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</row>
    <row r="195">
      <c r="A195" s="66"/>
      <c r="B195" s="66"/>
      <c r="C195" s="80"/>
      <c r="D195" s="80"/>
      <c r="E195" s="80"/>
      <c r="F195" s="80"/>
      <c r="G195" s="76">
        <f t="shared" si="16"/>
        <v>0</v>
      </c>
      <c r="H195" s="20"/>
      <c r="I195" s="80"/>
      <c r="J195" s="80"/>
      <c r="K195" s="80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</row>
    <row r="196">
      <c r="A196" s="66"/>
      <c r="B196" s="66"/>
      <c r="C196" s="80"/>
      <c r="D196" s="80"/>
      <c r="E196" s="80"/>
      <c r="F196" s="80"/>
      <c r="G196" s="76">
        <f t="shared" si="16"/>
        <v>0</v>
      </c>
      <c r="H196" s="20"/>
      <c r="I196" s="80"/>
      <c r="J196" s="80"/>
      <c r="K196" s="80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</row>
    <row r="197">
      <c r="A197" s="66"/>
      <c r="B197" s="66"/>
      <c r="C197" s="80"/>
      <c r="D197" s="80"/>
      <c r="E197" s="80"/>
      <c r="F197" s="80"/>
      <c r="G197" s="76">
        <f t="shared" si="16"/>
        <v>0</v>
      </c>
      <c r="H197" s="20"/>
      <c r="I197" s="80"/>
      <c r="J197" s="80"/>
      <c r="K197" s="80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</row>
    <row r="198">
      <c r="A198" s="66"/>
      <c r="B198" s="66"/>
      <c r="C198" s="66"/>
      <c r="D198" s="66"/>
      <c r="E198" s="66"/>
      <c r="F198" s="66"/>
      <c r="G198" s="66"/>
      <c r="H198" s="38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</row>
    <row r="199">
      <c r="A199" s="66"/>
      <c r="B199" s="66"/>
      <c r="C199" s="66"/>
      <c r="D199" s="66"/>
      <c r="E199" s="66"/>
      <c r="F199" s="66"/>
      <c r="G199" s="66"/>
      <c r="H199" s="38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</row>
    <row r="200">
      <c r="A200" s="66"/>
      <c r="B200" s="66"/>
      <c r="C200" s="66"/>
      <c r="D200" s="66"/>
      <c r="E200" s="66"/>
      <c r="F200" s="66"/>
      <c r="G200" s="66"/>
      <c r="H200" s="38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</row>
    <row r="201">
      <c r="A201" s="66"/>
      <c r="B201" s="66"/>
      <c r="C201" s="66"/>
      <c r="D201" s="66"/>
      <c r="E201" s="66"/>
      <c r="F201" s="66"/>
      <c r="G201" s="66"/>
      <c r="H201" s="38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</row>
    <row r="202">
      <c r="A202" s="66"/>
      <c r="B202" s="66"/>
      <c r="C202" s="66"/>
      <c r="D202" s="66"/>
      <c r="E202" s="66"/>
      <c r="F202" s="66"/>
      <c r="G202" s="66"/>
      <c r="H202" s="38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</row>
    <row r="203">
      <c r="A203" s="66"/>
      <c r="B203" s="66"/>
      <c r="C203" s="66"/>
      <c r="D203" s="66"/>
      <c r="E203" s="66"/>
      <c r="F203" s="66"/>
      <c r="G203" s="66"/>
      <c r="H203" s="38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</row>
    <row r="204">
      <c r="A204" s="66"/>
      <c r="B204" s="66"/>
      <c r="C204" s="66"/>
      <c r="D204" s="66"/>
      <c r="E204" s="66"/>
      <c r="F204" s="66"/>
      <c r="G204" s="66"/>
      <c r="H204" s="38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</row>
    <row r="205">
      <c r="A205" s="66"/>
      <c r="B205" s="66"/>
      <c r="C205" s="66"/>
      <c r="D205" s="66"/>
      <c r="E205" s="66"/>
      <c r="F205" s="66"/>
      <c r="G205" s="66"/>
      <c r="H205" s="38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</row>
    <row r="206">
      <c r="A206" s="66"/>
      <c r="B206" s="66"/>
      <c r="C206" s="66"/>
      <c r="D206" s="66"/>
      <c r="E206" s="66"/>
      <c r="F206" s="66"/>
      <c r="G206" s="66"/>
      <c r="H206" s="38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</row>
    <row r="207">
      <c r="A207" s="66"/>
      <c r="B207" s="66"/>
      <c r="C207" s="66"/>
      <c r="D207" s="66"/>
      <c r="E207" s="66"/>
      <c r="F207" s="66"/>
      <c r="G207" s="66"/>
      <c r="H207" s="38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</row>
    <row r="208">
      <c r="A208" s="66"/>
      <c r="B208" s="66"/>
      <c r="C208" s="66"/>
      <c r="D208" s="66"/>
      <c r="E208" s="66"/>
      <c r="F208" s="66"/>
      <c r="G208" s="66"/>
      <c r="H208" s="38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</row>
    <row r="209">
      <c r="A209" s="66"/>
      <c r="B209" s="66"/>
      <c r="C209" s="66"/>
      <c r="D209" s="66"/>
      <c r="E209" s="66"/>
      <c r="F209" s="66"/>
      <c r="G209" s="66"/>
      <c r="H209" s="38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</row>
    <row r="210">
      <c r="A210" s="66"/>
      <c r="B210" s="66"/>
      <c r="C210" s="66"/>
      <c r="D210" s="66"/>
      <c r="E210" s="66"/>
      <c r="F210" s="66"/>
      <c r="G210" s="66"/>
      <c r="H210" s="38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</row>
    <row r="211">
      <c r="A211" s="66"/>
      <c r="B211" s="66"/>
      <c r="C211" s="66"/>
      <c r="D211" s="66"/>
      <c r="E211" s="66"/>
      <c r="F211" s="66"/>
      <c r="G211" s="66"/>
      <c r="H211" s="38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</row>
    <row r="212">
      <c r="A212" s="66"/>
      <c r="B212" s="66"/>
      <c r="C212" s="66"/>
      <c r="D212" s="66"/>
      <c r="E212" s="66"/>
      <c r="F212" s="66"/>
      <c r="G212" s="66"/>
      <c r="H212" s="38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</row>
    <row r="213">
      <c r="A213" s="66"/>
      <c r="B213" s="66"/>
      <c r="C213" s="66"/>
      <c r="D213" s="66"/>
      <c r="E213" s="66"/>
      <c r="F213" s="66"/>
      <c r="G213" s="66"/>
      <c r="H213" s="38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</row>
    <row r="214">
      <c r="A214" s="66"/>
      <c r="B214" s="66"/>
      <c r="C214" s="66"/>
      <c r="D214" s="66"/>
      <c r="E214" s="66"/>
      <c r="F214" s="66"/>
      <c r="G214" s="66"/>
      <c r="H214" s="38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</row>
    <row r="215">
      <c r="A215" s="66"/>
      <c r="B215" s="66"/>
      <c r="C215" s="66"/>
      <c r="D215" s="66"/>
      <c r="E215" s="66"/>
      <c r="F215" s="66"/>
      <c r="G215" s="66"/>
      <c r="H215" s="38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</row>
    <row r="216">
      <c r="A216" s="66"/>
      <c r="B216" s="66"/>
      <c r="C216" s="66"/>
      <c r="D216" s="66"/>
      <c r="E216" s="66"/>
      <c r="F216" s="66"/>
      <c r="G216" s="66"/>
      <c r="H216" s="38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</row>
    <row r="217">
      <c r="A217" s="66"/>
      <c r="B217" s="66"/>
      <c r="C217" s="66"/>
      <c r="D217" s="66"/>
      <c r="E217" s="66"/>
      <c r="F217" s="66"/>
      <c r="G217" s="66"/>
      <c r="H217" s="38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</row>
    <row r="218">
      <c r="A218" s="66"/>
      <c r="B218" s="66"/>
      <c r="C218" s="66"/>
      <c r="D218" s="66"/>
      <c r="E218" s="66"/>
      <c r="F218" s="66"/>
      <c r="G218" s="66"/>
      <c r="H218" s="38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</row>
    <row r="219">
      <c r="A219" s="66"/>
      <c r="B219" s="66"/>
      <c r="C219" s="66"/>
      <c r="D219" s="66"/>
      <c r="E219" s="66"/>
      <c r="F219" s="66"/>
      <c r="G219" s="66"/>
      <c r="H219" s="38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</row>
    <row r="220">
      <c r="A220" s="66"/>
      <c r="B220" s="66"/>
      <c r="C220" s="66"/>
      <c r="D220" s="66"/>
      <c r="E220" s="66"/>
      <c r="F220" s="66"/>
      <c r="G220" s="66"/>
      <c r="H220" s="38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</row>
    <row r="221">
      <c r="A221" s="66"/>
      <c r="B221" s="66"/>
      <c r="C221" s="66"/>
      <c r="D221" s="66"/>
      <c r="E221" s="66"/>
      <c r="F221" s="66"/>
      <c r="G221" s="66"/>
      <c r="H221" s="38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</row>
    <row r="222">
      <c r="A222" s="66"/>
      <c r="B222" s="66"/>
      <c r="C222" s="66"/>
      <c r="D222" s="66"/>
      <c r="E222" s="66"/>
      <c r="F222" s="66"/>
      <c r="G222" s="66"/>
      <c r="H222" s="38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</row>
    <row r="223">
      <c r="A223" s="66"/>
      <c r="B223" s="66"/>
      <c r="C223" s="66"/>
      <c r="D223" s="66"/>
      <c r="E223" s="66"/>
      <c r="F223" s="66"/>
      <c r="G223" s="66"/>
      <c r="H223" s="38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</row>
    <row r="224">
      <c r="A224" s="66"/>
      <c r="B224" s="66"/>
      <c r="C224" s="66"/>
      <c r="D224" s="66"/>
      <c r="E224" s="66"/>
      <c r="F224" s="66"/>
      <c r="G224" s="66"/>
      <c r="H224" s="38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</row>
    <row r="225">
      <c r="A225" s="66"/>
      <c r="B225" s="66"/>
      <c r="C225" s="66"/>
      <c r="D225" s="66"/>
      <c r="E225" s="66"/>
      <c r="F225" s="66"/>
      <c r="G225" s="66"/>
      <c r="H225" s="38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</row>
    <row r="226">
      <c r="A226" s="66"/>
      <c r="B226" s="66"/>
      <c r="C226" s="66"/>
      <c r="D226" s="66"/>
      <c r="E226" s="66"/>
      <c r="F226" s="66"/>
      <c r="G226" s="66"/>
      <c r="H226" s="38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</row>
    <row r="227">
      <c r="A227" s="66"/>
      <c r="B227" s="66"/>
      <c r="C227" s="66"/>
      <c r="D227" s="66"/>
      <c r="E227" s="66"/>
      <c r="F227" s="66"/>
      <c r="G227" s="66"/>
      <c r="H227" s="38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</row>
    <row r="228">
      <c r="A228" s="66"/>
      <c r="B228" s="66"/>
      <c r="C228" s="66"/>
      <c r="D228" s="66"/>
      <c r="E228" s="66"/>
      <c r="F228" s="66"/>
      <c r="G228" s="66"/>
      <c r="H228" s="38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</row>
    <row r="229">
      <c r="A229" s="66"/>
      <c r="B229" s="66"/>
      <c r="C229" s="66"/>
      <c r="D229" s="66"/>
      <c r="E229" s="66"/>
      <c r="F229" s="66"/>
      <c r="G229" s="66"/>
      <c r="H229" s="38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</row>
    <row r="230">
      <c r="A230" s="66"/>
      <c r="B230" s="66"/>
      <c r="C230" s="66"/>
      <c r="D230" s="66"/>
      <c r="E230" s="66"/>
      <c r="F230" s="66"/>
      <c r="G230" s="66"/>
      <c r="H230" s="38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</row>
    <row r="231">
      <c r="A231" s="66"/>
      <c r="B231" s="66"/>
      <c r="C231" s="66"/>
      <c r="D231" s="66"/>
      <c r="E231" s="66"/>
      <c r="F231" s="66"/>
      <c r="G231" s="66"/>
      <c r="H231" s="38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</row>
    <row r="232">
      <c r="A232" s="66"/>
      <c r="B232" s="66"/>
      <c r="C232" s="66"/>
      <c r="D232" s="66"/>
      <c r="E232" s="66"/>
      <c r="F232" s="66"/>
      <c r="G232" s="66"/>
      <c r="H232" s="38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</row>
    <row r="233">
      <c r="A233" s="66"/>
      <c r="B233" s="66"/>
      <c r="C233" s="66"/>
      <c r="D233" s="66"/>
      <c r="E233" s="66"/>
      <c r="F233" s="66"/>
      <c r="G233" s="66"/>
      <c r="H233" s="38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</row>
    <row r="234">
      <c r="A234" s="66"/>
      <c r="B234" s="66"/>
      <c r="C234" s="66"/>
      <c r="D234" s="66"/>
      <c r="E234" s="66"/>
      <c r="F234" s="66"/>
      <c r="G234" s="66"/>
      <c r="H234" s="38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</row>
    <row r="235">
      <c r="A235" s="66"/>
      <c r="B235" s="66"/>
      <c r="C235" s="66"/>
      <c r="D235" s="66"/>
      <c r="E235" s="66"/>
      <c r="F235" s="66"/>
      <c r="G235" s="66"/>
      <c r="H235" s="38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</row>
    <row r="236">
      <c r="A236" s="66"/>
      <c r="B236" s="66"/>
      <c r="C236" s="66"/>
      <c r="D236" s="66"/>
      <c r="E236" s="66"/>
      <c r="F236" s="66"/>
      <c r="G236" s="66"/>
      <c r="H236" s="38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</row>
    <row r="237">
      <c r="A237" s="66"/>
      <c r="B237" s="66"/>
      <c r="C237" s="66"/>
      <c r="D237" s="66"/>
      <c r="E237" s="66"/>
      <c r="F237" s="66"/>
      <c r="G237" s="66"/>
      <c r="H237" s="38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</row>
    <row r="238">
      <c r="A238" s="66"/>
      <c r="B238" s="66"/>
      <c r="C238" s="66"/>
      <c r="D238" s="66"/>
      <c r="E238" s="66"/>
      <c r="F238" s="66"/>
      <c r="G238" s="66"/>
      <c r="H238" s="38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</row>
    <row r="239">
      <c r="A239" s="66"/>
      <c r="B239" s="66"/>
      <c r="C239" s="66"/>
      <c r="D239" s="66"/>
      <c r="E239" s="66"/>
      <c r="F239" s="66"/>
      <c r="G239" s="66"/>
      <c r="H239" s="38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</row>
    <row r="240">
      <c r="A240" s="66"/>
      <c r="B240" s="66"/>
      <c r="C240" s="66"/>
      <c r="D240" s="66"/>
      <c r="E240" s="66"/>
      <c r="F240" s="66"/>
      <c r="G240" s="66"/>
      <c r="H240" s="38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</row>
    <row r="241">
      <c r="A241" s="66"/>
      <c r="B241" s="66"/>
      <c r="C241" s="66"/>
      <c r="D241" s="66"/>
      <c r="E241" s="66"/>
      <c r="F241" s="66"/>
      <c r="G241" s="66"/>
      <c r="H241" s="38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</row>
    <row r="242">
      <c r="A242" s="66"/>
      <c r="B242" s="66"/>
      <c r="C242" s="66"/>
      <c r="D242" s="66"/>
      <c r="E242" s="66"/>
      <c r="F242" s="66"/>
      <c r="G242" s="66"/>
      <c r="H242" s="38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</row>
    <row r="243">
      <c r="A243" s="66"/>
      <c r="B243" s="66"/>
      <c r="C243" s="66"/>
      <c r="D243" s="66"/>
      <c r="E243" s="66"/>
      <c r="F243" s="66"/>
      <c r="G243" s="66"/>
      <c r="H243" s="38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</row>
    <row r="244">
      <c r="A244" s="66"/>
      <c r="B244" s="66"/>
      <c r="C244" s="66"/>
      <c r="D244" s="66"/>
      <c r="E244" s="66"/>
      <c r="F244" s="66"/>
      <c r="G244" s="66"/>
      <c r="H244" s="38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</row>
    <row r="245">
      <c r="A245" s="66"/>
      <c r="B245" s="66"/>
      <c r="C245" s="66"/>
      <c r="D245" s="66"/>
      <c r="E245" s="66"/>
      <c r="F245" s="66"/>
      <c r="G245" s="66"/>
      <c r="H245" s="38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</row>
    <row r="246">
      <c r="A246" s="66"/>
      <c r="B246" s="66"/>
      <c r="C246" s="66"/>
      <c r="D246" s="66"/>
      <c r="E246" s="66"/>
      <c r="F246" s="66"/>
      <c r="G246" s="66"/>
      <c r="H246" s="38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</row>
    <row r="247">
      <c r="A247" s="66"/>
      <c r="B247" s="66"/>
      <c r="C247" s="66"/>
      <c r="D247" s="66"/>
      <c r="E247" s="66"/>
      <c r="F247" s="66"/>
      <c r="G247" s="66"/>
      <c r="H247" s="38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</row>
    <row r="248">
      <c r="A248" s="66"/>
      <c r="B248" s="66"/>
      <c r="C248" s="66"/>
      <c r="D248" s="66"/>
      <c r="E248" s="66"/>
      <c r="F248" s="66"/>
      <c r="G248" s="66"/>
      <c r="H248" s="38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</row>
    <row r="249">
      <c r="A249" s="66"/>
      <c r="B249" s="66"/>
      <c r="C249" s="66"/>
      <c r="D249" s="66"/>
      <c r="E249" s="66"/>
      <c r="F249" s="66"/>
      <c r="G249" s="66"/>
      <c r="H249" s="38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</row>
    <row r="250">
      <c r="A250" s="66"/>
      <c r="B250" s="66"/>
      <c r="C250" s="66"/>
      <c r="D250" s="66"/>
      <c r="E250" s="66"/>
      <c r="F250" s="66"/>
      <c r="G250" s="66"/>
      <c r="H250" s="38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</row>
    <row r="251">
      <c r="A251" s="66"/>
      <c r="B251" s="66"/>
      <c r="C251" s="66"/>
      <c r="D251" s="66"/>
      <c r="E251" s="66"/>
      <c r="F251" s="66"/>
      <c r="G251" s="66"/>
      <c r="H251" s="38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</row>
    <row r="252">
      <c r="A252" s="66"/>
      <c r="B252" s="66"/>
      <c r="C252" s="66"/>
      <c r="D252" s="66"/>
      <c r="E252" s="66"/>
      <c r="F252" s="66"/>
      <c r="G252" s="66"/>
      <c r="H252" s="38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</row>
    <row r="253">
      <c r="A253" s="66"/>
      <c r="B253" s="66"/>
      <c r="C253" s="66"/>
      <c r="D253" s="66"/>
      <c r="E253" s="66"/>
      <c r="F253" s="66"/>
      <c r="G253" s="66"/>
      <c r="H253" s="38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</row>
    <row r="254">
      <c r="A254" s="66"/>
      <c r="B254" s="66"/>
      <c r="C254" s="66"/>
      <c r="D254" s="66"/>
      <c r="E254" s="66"/>
      <c r="F254" s="66"/>
      <c r="G254" s="66"/>
      <c r="H254" s="38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</row>
    <row r="255">
      <c r="A255" s="66"/>
      <c r="B255" s="66"/>
      <c r="C255" s="66"/>
      <c r="D255" s="66"/>
      <c r="E255" s="66"/>
      <c r="F255" s="66"/>
      <c r="G255" s="66"/>
      <c r="H255" s="38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</row>
    <row r="256">
      <c r="A256" s="66"/>
      <c r="B256" s="66"/>
      <c r="C256" s="66"/>
      <c r="D256" s="66"/>
      <c r="E256" s="66"/>
      <c r="F256" s="66"/>
      <c r="G256" s="66"/>
      <c r="H256" s="38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</row>
    <row r="257">
      <c r="A257" s="66"/>
      <c r="B257" s="66"/>
      <c r="C257" s="66"/>
      <c r="D257" s="66"/>
      <c r="E257" s="66"/>
      <c r="F257" s="66"/>
      <c r="G257" s="66"/>
      <c r="H257" s="38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</row>
    <row r="258">
      <c r="A258" s="66"/>
      <c r="B258" s="66"/>
      <c r="C258" s="66"/>
      <c r="D258" s="66"/>
      <c r="E258" s="66"/>
      <c r="F258" s="66"/>
      <c r="G258" s="66"/>
      <c r="H258" s="38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</row>
    <row r="259">
      <c r="A259" s="66"/>
      <c r="B259" s="66"/>
      <c r="C259" s="66"/>
      <c r="D259" s="66"/>
      <c r="E259" s="66"/>
      <c r="F259" s="66"/>
      <c r="G259" s="66"/>
      <c r="H259" s="38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</row>
    <row r="260">
      <c r="A260" s="66"/>
      <c r="B260" s="66"/>
      <c r="C260" s="66"/>
      <c r="D260" s="66"/>
      <c r="E260" s="66"/>
      <c r="F260" s="66"/>
      <c r="G260" s="66"/>
      <c r="H260" s="38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</row>
    <row r="261">
      <c r="A261" s="66"/>
      <c r="B261" s="66"/>
      <c r="C261" s="66"/>
      <c r="D261" s="66"/>
      <c r="E261" s="66"/>
      <c r="F261" s="66"/>
      <c r="G261" s="66"/>
      <c r="H261" s="38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</row>
    <row r="262">
      <c r="A262" s="66"/>
      <c r="B262" s="66"/>
      <c r="C262" s="66"/>
      <c r="D262" s="66"/>
      <c r="E262" s="66"/>
      <c r="F262" s="66"/>
      <c r="G262" s="66"/>
      <c r="H262" s="38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</row>
    <row r="263">
      <c r="A263" s="66"/>
      <c r="B263" s="66"/>
      <c r="C263" s="66"/>
      <c r="D263" s="66"/>
      <c r="E263" s="66"/>
      <c r="F263" s="66"/>
      <c r="G263" s="66"/>
      <c r="H263" s="38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</row>
    <row r="264">
      <c r="A264" s="66"/>
      <c r="B264" s="66"/>
      <c r="C264" s="66"/>
      <c r="D264" s="66"/>
      <c r="E264" s="66"/>
      <c r="F264" s="66"/>
      <c r="G264" s="66"/>
      <c r="H264" s="38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</row>
    <row r="265">
      <c r="A265" s="66"/>
      <c r="B265" s="66"/>
      <c r="C265" s="66"/>
      <c r="D265" s="66"/>
      <c r="E265" s="66"/>
      <c r="F265" s="66"/>
      <c r="G265" s="66"/>
      <c r="H265" s="38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</row>
    <row r="266">
      <c r="A266" s="66"/>
      <c r="B266" s="66"/>
      <c r="C266" s="66"/>
      <c r="D266" s="66"/>
      <c r="E266" s="66"/>
      <c r="F266" s="66"/>
      <c r="G266" s="66"/>
      <c r="H266" s="38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</row>
    <row r="267">
      <c r="A267" s="66"/>
      <c r="B267" s="66"/>
      <c r="C267" s="66"/>
      <c r="D267" s="66"/>
      <c r="E267" s="66"/>
      <c r="F267" s="66"/>
      <c r="G267" s="66"/>
      <c r="H267" s="38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</row>
    <row r="268">
      <c r="A268" s="66"/>
      <c r="B268" s="66"/>
      <c r="C268" s="66"/>
      <c r="D268" s="66"/>
      <c r="E268" s="66"/>
      <c r="F268" s="66"/>
      <c r="G268" s="66"/>
      <c r="H268" s="38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</row>
    <row r="269">
      <c r="A269" s="66"/>
      <c r="B269" s="66"/>
      <c r="C269" s="66"/>
      <c r="D269" s="66"/>
      <c r="E269" s="66"/>
      <c r="F269" s="66"/>
      <c r="G269" s="66"/>
      <c r="H269" s="38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</row>
    <row r="270">
      <c r="A270" s="66"/>
      <c r="B270" s="66"/>
      <c r="C270" s="66"/>
      <c r="D270" s="66"/>
      <c r="E270" s="66"/>
      <c r="F270" s="66"/>
      <c r="G270" s="66"/>
      <c r="H270" s="38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</row>
    <row r="271">
      <c r="A271" s="66"/>
      <c r="B271" s="66"/>
      <c r="C271" s="66"/>
      <c r="D271" s="66"/>
      <c r="E271" s="66"/>
      <c r="F271" s="66"/>
      <c r="G271" s="66"/>
      <c r="H271" s="38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</row>
    <row r="272">
      <c r="A272" s="66"/>
      <c r="B272" s="66"/>
      <c r="C272" s="66"/>
      <c r="D272" s="66"/>
      <c r="E272" s="66"/>
      <c r="F272" s="66"/>
      <c r="G272" s="66"/>
      <c r="H272" s="38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</row>
    <row r="273">
      <c r="A273" s="66"/>
      <c r="B273" s="66"/>
      <c r="C273" s="66"/>
      <c r="D273" s="66"/>
      <c r="E273" s="66"/>
      <c r="F273" s="66"/>
      <c r="G273" s="66"/>
      <c r="H273" s="38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</row>
    <row r="274">
      <c r="A274" s="66"/>
      <c r="B274" s="66"/>
      <c r="C274" s="66"/>
      <c r="D274" s="66"/>
      <c r="E274" s="66"/>
      <c r="F274" s="66"/>
      <c r="G274" s="66"/>
      <c r="H274" s="38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</row>
    <row r="275">
      <c r="A275" s="66"/>
      <c r="B275" s="66"/>
      <c r="C275" s="66"/>
      <c r="D275" s="66"/>
      <c r="E275" s="66"/>
      <c r="F275" s="66"/>
      <c r="G275" s="66"/>
      <c r="H275" s="38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</row>
    <row r="276">
      <c r="A276" s="66"/>
      <c r="B276" s="66"/>
      <c r="C276" s="66"/>
      <c r="D276" s="66"/>
      <c r="E276" s="66"/>
      <c r="F276" s="66"/>
      <c r="G276" s="66"/>
      <c r="H276" s="38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</row>
    <row r="277">
      <c r="A277" s="66"/>
      <c r="B277" s="66"/>
      <c r="C277" s="66"/>
      <c r="D277" s="66"/>
      <c r="E277" s="66"/>
      <c r="F277" s="66"/>
      <c r="G277" s="66"/>
      <c r="H277" s="38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</row>
    <row r="278">
      <c r="A278" s="66"/>
      <c r="B278" s="66"/>
      <c r="C278" s="66"/>
      <c r="D278" s="66"/>
      <c r="E278" s="66"/>
      <c r="F278" s="66"/>
      <c r="G278" s="66"/>
      <c r="H278" s="38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</row>
    <row r="279">
      <c r="A279" s="66"/>
      <c r="B279" s="66"/>
      <c r="C279" s="66"/>
      <c r="D279" s="66"/>
      <c r="E279" s="66"/>
      <c r="F279" s="66"/>
      <c r="G279" s="66"/>
      <c r="H279" s="38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</row>
    <row r="280">
      <c r="A280" s="66"/>
      <c r="B280" s="66"/>
      <c r="C280" s="66"/>
      <c r="D280" s="66"/>
      <c r="E280" s="66"/>
      <c r="F280" s="66"/>
      <c r="G280" s="66"/>
      <c r="H280" s="38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</row>
    <row r="281">
      <c r="A281" s="66"/>
      <c r="B281" s="66"/>
      <c r="C281" s="66"/>
      <c r="D281" s="66"/>
      <c r="E281" s="66"/>
      <c r="F281" s="66"/>
      <c r="G281" s="66"/>
      <c r="H281" s="38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</row>
    <row r="282">
      <c r="A282" s="66"/>
      <c r="B282" s="66"/>
      <c r="C282" s="66"/>
      <c r="D282" s="66"/>
      <c r="E282" s="66"/>
      <c r="F282" s="66"/>
      <c r="G282" s="66"/>
      <c r="H282" s="38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</row>
    <row r="283">
      <c r="A283" s="66"/>
      <c r="B283" s="66"/>
      <c r="C283" s="66"/>
      <c r="D283" s="66"/>
      <c r="E283" s="66"/>
      <c r="F283" s="66"/>
      <c r="G283" s="66"/>
      <c r="H283" s="38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</row>
    <row r="284">
      <c r="A284" s="66"/>
      <c r="B284" s="66"/>
      <c r="C284" s="66"/>
      <c r="D284" s="66"/>
      <c r="E284" s="66"/>
      <c r="F284" s="66"/>
      <c r="G284" s="66"/>
      <c r="H284" s="38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</row>
    <row r="285">
      <c r="A285" s="66"/>
      <c r="B285" s="66"/>
      <c r="C285" s="66"/>
      <c r="D285" s="66"/>
      <c r="E285" s="66"/>
      <c r="F285" s="66"/>
      <c r="G285" s="66"/>
      <c r="H285" s="38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</row>
    <row r="286">
      <c r="A286" s="66"/>
      <c r="B286" s="66"/>
      <c r="C286" s="66"/>
      <c r="D286" s="66"/>
      <c r="E286" s="66"/>
      <c r="F286" s="66"/>
      <c r="G286" s="66"/>
      <c r="H286" s="38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</row>
    <row r="287">
      <c r="A287" s="66"/>
      <c r="B287" s="66"/>
      <c r="C287" s="66"/>
      <c r="D287" s="66"/>
      <c r="E287" s="66"/>
      <c r="F287" s="66"/>
      <c r="G287" s="66"/>
      <c r="H287" s="38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</row>
    <row r="288">
      <c r="A288" s="66"/>
      <c r="B288" s="66"/>
      <c r="C288" s="66"/>
      <c r="D288" s="66"/>
      <c r="E288" s="66"/>
      <c r="F288" s="66"/>
      <c r="G288" s="66"/>
      <c r="H288" s="38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</row>
    <row r="289">
      <c r="A289" s="66"/>
      <c r="B289" s="66"/>
      <c r="C289" s="66"/>
      <c r="D289" s="66"/>
      <c r="E289" s="66"/>
      <c r="F289" s="66"/>
      <c r="G289" s="66"/>
      <c r="H289" s="38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</row>
    <row r="290">
      <c r="A290" s="66"/>
      <c r="B290" s="66"/>
      <c r="C290" s="66"/>
      <c r="D290" s="66"/>
      <c r="E290" s="66"/>
      <c r="F290" s="66"/>
      <c r="G290" s="66"/>
      <c r="H290" s="38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</row>
    <row r="291">
      <c r="A291" s="66"/>
      <c r="B291" s="66"/>
      <c r="C291" s="66"/>
      <c r="D291" s="66"/>
      <c r="E291" s="66"/>
      <c r="F291" s="66"/>
      <c r="G291" s="66"/>
      <c r="H291" s="38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</row>
    <row r="292">
      <c r="A292" s="66"/>
      <c r="B292" s="66"/>
      <c r="C292" s="66"/>
      <c r="D292" s="66"/>
      <c r="E292" s="66"/>
      <c r="F292" s="66"/>
      <c r="G292" s="66"/>
      <c r="H292" s="38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</row>
    <row r="293">
      <c r="A293" s="66"/>
      <c r="B293" s="66"/>
      <c r="C293" s="66"/>
      <c r="D293" s="66"/>
      <c r="E293" s="66"/>
      <c r="F293" s="66"/>
      <c r="G293" s="66"/>
      <c r="H293" s="38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</row>
    <row r="294">
      <c r="A294" s="66"/>
      <c r="B294" s="66"/>
      <c r="C294" s="66"/>
      <c r="D294" s="66"/>
      <c r="E294" s="66"/>
      <c r="F294" s="66"/>
      <c r="G294" s="66"/>
      <c r="H294" s="38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</row>
    <row r="295">
      <c r="A295" s="66"/>
      <c r="B295" s="66"/>
      <c r="C295" s="66"/>
      <c r="D295" s="66"/>
      <c r="E295" s="66"/>
      <c r="F295" s="66"/>
      <c r="G295" s="66"/>
      <c r="H295" s="38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</row>
    <row r="296">
      <c r="A296" s="66"/>
      <c r="B296" s="66"/>
      <c r="C296" s="66"/>
      <c r="D296" s="66"/>
      <c r="E296" s="66"/>
      <c r="F296" s="66"/>
      <c r="G296" s="66"/>
      <c r="H296" s="38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</row>
    <row r="297">
      <c r="A297" s="66"/>
      <c r="B297" s="66"/>
      <c r="C297" s="66"/>
      <c r="D297" s="66"/>
      <c r="E297" s="66"/>
      <c r="F297" s="66"/>
      <c r="G297" s="66"/>
      <c r="H297" s="38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</row>
    <row r="298">
      <c r="A298" s="66"/>
      <c r="B298" s="66"/>
      <c r="C298" s="66"/>
      <c r="D298" s="66"/>
      <c r="E298" s="66"/>
      <c r="F298" s="66"/>
      <c r="G298" s="66"/>
      <c r="H298" s="38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</row>
    <row r="299">
      <c r="A299" s="66"/>
      <c r="B299" s="66"/>
      <c r="C299" s="66"/>
      <c r="D299" s="66"/>
      <c r="E299" s="66"/>
      <c r="F299" s="66"/>
      <c r="G299" s="66"/>
      <c r="H299" s="38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</row>
    <row r="300">
      <c r="A300" s="66"/>
      <c r="B300" s="66"/>
      <c r="C300" s="66"/>
      <c r="D300" s="66"/>
      <c r="E300" s="66"/>
      <c r="F300" s="66"/>
      <c r="G300" s="66"/>
      <c r="H300" s="38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</row>
    <row r="301">
      <c r="A301" s="66"/>
      <c r="B301" s="66"/>
      <c r="C301" s="66"/>
      <c r="D301" s="66"/>
      <c r="E301" s="66"/>
      <c r="F301" s="66"/>
      <c r="G301" s="66"/>
      <c r="H301" s="38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</row>
    <row r="302">
      <c r="A302" s="66"/>
      <c r="B302" s="66"/>
      <c r="C302" s="66"/>
      <c r="D302" s="66"/>
      <c r="E302" s="66"/>
      <c r="F302" s="66"/>
      <c r="G302" s="66"/>
      <c r="H302" s="38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</row>
    <row r="303">
      <c r="A303" s="66"/>
      <c r="B303" s="66"/>
      <c r="C303" s="66"/>
      <c r="D303" s="66"/>
      <c r="E303" s="66"/>
      <c r="F303" s="66"/>
      <c r="G303" s="66"/>
      <c r="H303" s="38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</row>
    <row r="304">
      <c r="A304" s="66"/>
      <c r="B304" s="66"/>
      <c r="C304" s="66"/>
      <c r="D304" s="66"/>
      <c r="E304" s="66"/>
      <c r="F304" s="66"/>
      <c r="G304" s="66"/>
      <c r="H304" s="38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</row>
    <row r="305">
      <c r="A305" s="66"/>
      <c r="B305" s="66"/>
      <c r="C305" s="66"/>
      <c r="D305" s="66"/>
      <c r="E305" s="66"/>
      <c r="F305" s="66"/>
      <c r="G305" s="66"/>
      <c r="H305" s="38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</row>
    <row r="306">
      <c r="A306" s="66"/>
      <c r="B306" s="66"/>
      <c r="C306" s="66"/>
      <c r="D306" s="66"/>
      <c r="E306" s="66"/>
      <c r="F306" s="66"/>
      <c r="G306" s="66"/>
      <c r="H306" s="38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</row>
    <row r="307">
      <c r="A307" s="66"/>
      <c r="B307" s="66"/>
      <c r="C307" s="66"/>
      <c r="D307" s="66"/>
      <c r="E307" s="66"/>
      <c r="F307" s="66"/>
      <c r="G307" s="66"/>
      <c r="H307" s="38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</row>
    <row r="308">
      <c r="A308" s="66"/>
      <c r="B308" s="66"/>
      <c r="C308" s="66"/>
      <c r="D308" s="66"/>
      <c r="E308" s="66"/>
      <c r="F308" s="66"/>
      <c r="G308" s="66"/>
      <c r="H308" s="38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</row>
    <row r="309">
      <c r="A309" s="66"/>
      <c r="B309" s="66"/>
      <c r="C309" s="66"/>
      <c r="D309" s="66"/>
      <c r="E309" s="66"/>
      <c r="F309" s="66"/>
      <c r="G309" s="66"/>
      <c r="H309" s="38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</row>
    <row r="310">
      <c r="A310" s="66"/>
      <c r="B310" s="66"/>
      <c r="C310" s="66"/>
      <c r="D310" s="66"/>
      <c r="E310" s="66"/>
      <c r="F310" s="66"/>
      <c r="G310" s="66"/>
      <c r="H310" s="38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</row>
    <row r="311">
      <c r="A311" s="66"/>
      <c r="B311" s="66"/>
      <c r="C311" s="66"/>
      <c r="D311" s="66"/>
      <c r="E311" s="66"/>
      <c r="F311" s="66"/>
      <c r="G311" s="66"/>
      <c r="H311" s="38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</row>
    <row r="312">
      <c r="A312" s="66"/>
      <c r="B312" s="66"/>
      <c r="C312" s="66"/>
      <c r="D312" s="66"/>
      <c r="E312" s="66"/>
      <c r="F312" s="66"/>
      <c r="G312" s="66"/>
      <c r="H312" s="38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</row>
    <row r="313">
      <c r="A313" s="66"/>
      <c r="B313" s="66"/>
      <c r="C313" s="66"/>
      <c r="D313" s="66"/>
      <c r="E313" s="66"/>
      <c r="F313" s="66"/>
      <c r="G313" s="66"/>
      <c r="H313" s="38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</row>
    <row r="314">
      <c r="A314" s="66"/>
      <c r="B314" s="66"/>
      <c r="C314" s="66"/>
      <c r="D314" s="66"/>
      <c r="E314" s="66"/>
      <c r="F314" s="66"/>
      <c r="G314" s="66"/>
      <c r="H314" s="38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</row>
    <row r="315">
      <c r="A315" s="66"/>
      <c r="B315" s="66"/>
      <c r="C315" s="66"/>
      <c r="D315" s="66"/>
      <c r="E315" s="66"/>
      <c r="F315" s="66"/>
      <c r="G315" s="66"/>
      <c r="H315" s="38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</row>
    <row r="316">
      <c r="A316" s="66"/>
      <c r="B316" s="66"/>
      <c r="C316" s="66"/>
      <c r="D316" s="66"/>
      <c r="E316" s="66"/>
      <c r="F316" s="66"/>
      <c r="G316" s="66"/>
      <c r="H316" s="38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</row>
    <row r="317">
      <c r="A317" s="66"/>
      <c r="B317" s="66"/>
      <c r="C317" s="66"/>
      <c r="D317" s="66"/>
      <c r="E317" s="66"/>
      <c r="F317" s="66"/>
      <c r="G317" s="66"/>
      <c r="H317" s="38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</row>
    <row r="318">
      <c r="A318" s="66"/>
      <c r="B318" s="66"/>
      <c r="C318" s="66"/>
      <c r="D318" s="66"/>
      <c r="E318" s="66"/>
      <c r="F318" s="66"/>
      <c r="G318" s="66"/>
      <c r="H318" s="38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</row>
    <row r="319">
      <c r="A319" s="66"/>
      <c r="B319" s="66"/>
      <c r="C319" s="66"/>
      <c r="D319" s="66"/>
      <c r="E319" s="66"/>
      <c r="F319" s="66"/>
      <c r="G319" s="66"/>
      <c r="H319" s="38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</row>
    <row r="320">
      <c r="A320" s="66"/>
      <c r="B320" s="66"/>
      <c r="C320" s="66"/>
      <c r="D320" s="66"/>
      <c r="E320" s="66"/>
      <c r="F320" s="66"/>
      <c r="G320" s="66"/>
      <c r="H320" s="38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</row>
    <row r="321">
      <c r="A321" s="66"/>
      <c r="B321" s="66"/>
      <c r="C321" s="66"/>
      <c r="D321" s="66"/>
      <c r="E321" s="66"/>
      <c r="F321" s="66"/>
      <c r="G321" s="66"/>
      <c r="H321" s="38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</row>
    <row r="322">
      <c r="A322" s="66"/>
      <c r="B322" s="66"/>
      <c r="C322" s="66"/>
      <c r="D322" s="66"/>
      <c r="E322" s="66"/>
      <c r="F322" s="66"/>
      <c r="G322" s="66"/>
      <c r="H322" s="38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</row>
    <row r="323">
      <c r="A323" s="66"/>
      <c r="B323" s="66"/>
      <c r="C323" s="66"/>
      <c r="D323" s="66"/>
      <c r="E323" s="66"/>
      <c r="F323" s="66"/>
      <c r="G323" s="66"/>
      <c r="H323" s="38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</row>
    <row r="324">
      <c r="A324" s="66"/>
      <c r="B324" s="66"/>
      <c r="C324" s="66"/>
      <c r="D324" s="66"/>
      <c r="E324" s="66"/>
      <c r="F324" s="66"/>
      <c r="G324" s="66"/>
      <c r="H324" s="38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</row>
    <row r="325">
      <c r="A325" s="66"/>
      <c r="B325" s="66"/>
      <c r="C325" s="66"/>
      <c r="D325" s="66"/>
      <c r="E325" s="66"/>
      <c r="F325" s="66"/>
      <c r="G325" s="66"/>
      <c r="H325" s="38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</row>
    <row r="326">
      <c r="A326" s="66"/>
      <c r="B326" s="66"/>
      <c r="C326" s="66"/>
      <c r="D326" s="66"/>
      <c r="E326" s="66"/>
      <c r="F326" s="66"/>
      <c r="G326" s="66"/>
      <c r="H326" s="38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</row>
    <row r="327">
      <c r="A327" s="66"/>
      <c r="B327" s="66"/>
      <c r="C327" s="66"/>
      <c r="D327" s="66"/>
      <c r="E327" s="66"/>
      <c r="F327" s="66"/>
      <c r="G327" s="66"/>
      <c r="H327" s="38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</row>
    <row r="328">
      <c r="A328" s="66"/>
      <c r="B328" s="66"/>
      <c r="C328" s="66"/>
      <c r="D328" s="66"/>
      <c r="E328" s="66"/>
      <c r="F328" s="66"/>
      <c r="G328" s="66"/>
      <c r="H328" s="38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</row>
    <row r="329">
      <c r="A329" s="66"/>
      <c r="B329" s="66"/>
      <c r="C329" s="66"/>
      <c r="D329" s="66"/>
      <c r="E329" s="66"/>
      <c r="F329" s="66"/>
      <c r="G329" s="66"/>
      <c r="H329" s="38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</row>
    <row r="330">
      <c r="A330" s="66"/>
      <c r="B330" s="66"/>
      <c r="C330" s="66"/>
      <c r="D330" s="66"/>
      <c r="E330" s="66"/>
      <c r="F330" s="66"/>
      <c r="G330" s="66"/>
      <c r="H330" s="38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</row>
    <row r="331">
      <c r="A331" s="66"/>
      <c r="B331" s="66"/>
      <c r="C331" s="66"/>
      <c r="D331" s="66"/>
      <c r="E331" s="66"/>
      <c r="F331" s="66"/>
      <c r="G331" s="66"/>
      <c r="H331" s="38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</row>
    <row r="332">
      <c r="A332" s="66"/>
      <c r="B332" s="66"/>
      <c r="C332" s="66"/>
      <c r="D332" s="66"/>
      <c r="E332" s="66"/>
      <c r="F332" s="66"/>
      <c r="G332" s="66"/>
      <c r="H332" s="38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</row>
    <row r="333">
      <c r="A333" s="66"/>
      <c r="B333" s="66"/>
      <c r="C333" s="66"/>
      <c r="D333" s="66"/>
      <c r="E333" s="66"/>
      <c r="F333" s="66"/>
      <c r="G333" s="66"/>
      <c r="H333" s="38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</row>
    <row r="334">
      <c r="A334" s="66"/>
      <c r="B334" s="66"/>
      <c r="C334" s="66"/>
      <c r="D334" s="66"/>
      <c r="E334" s="66"/>
      <c r="F334" s="66"/>
      <c r="G334" s="66"/>
      <c r="H334" s="38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</row>
    <row r="335">
      <c r="A335" s="66"/>
      <c r="B335" s="66"/>
      <c r="C335" s="66"/>
      <c r="D335" s="66"/>
      <c r="E335" s="66"/>
      <c r="F335" s="66"/>
      <c r="G335" s="66"/>
      <c r="H335" s="38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</row>
    <row r="336">
      <c r="A336" s="66"/>
      <c r="B336" s="66"/>
      <c r="C336" s="66"/>
      <c r="D336" s="66"/>
      <c r="E336" s="66"/>
      <c r="F336" s="66"/>
      <c r="G336" s="66"/>
      <c r="H336" s="38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</row>
    <row r="337">
      <c r="A337" s="66"/>
      <c r="B337" s="66"/>
      <c r="C337" s="66"/>
      <c r="D337" s="66"/>
      <c r="E337" s="66"/>
      <c r="F337" s="66"/>
      <c r="G337" s="66"/>
      <c r="H337" s="38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</row>
    <row r="338">
      <c r="A338" s="66"/>
      <c r="B338" s="66"/>
      <c r="C338" s="66"/>
      <c r="D338" s="66"/>
      <c r="E338" s="66"/>
      <c r="F338" s="66"/>
      <c r="G338" s="66"/>
      <c r="H338" s="38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</row>
    <row r="339">
      <c r="A339" s="66"/>
      <c r="B339" s="66"/>
      <c r="C339" s="66"/>
      <c r="D339" s="66"/>
      <c r="E339" s="66"/>
      <c r="F339" s="66"/>
      <c r="G339" s="66"/>
      <c r="H339" s="38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</row>
    <row r="340">
      <c r="A340" s="66"/>
      <c r="B340" s="66"/>
      <c r="C340" s="66"/>
      <c r="D340" s="66"/>
      <c r="E340" s="66"/>
      <c r="F340" s="66"/>
      <c r="G340" s="66"/>
      <c r="H340" s="38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</row>
    <row r="341">
      <c r="A341" s="66"/>
      <c r="B341" s="66"/>
      <c r="C341" s="66"/>
      <c r="D341" s="66"/>
      <c r="E341" s="66"/>
      <c r="F341" s="66"/>
      <c r="G341" s="66"/>
      <c r="H341" s="38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</row>
    <row r="342">
      <c r="A342" s="66"/>
      <c r="B342" s="66"/>
      <c r="C342" s="66"/>
      <c r="D342" s="66"/>
      <c r="E342" s="66"/>
      <c r="F342" s="66"/>
      <c r="G342" s="66"/>
      <c r="H342" s="38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</row>
    <row r="343">
      <c r="A343" s="66"/>
      <c r="B343" s="66"/>
      <c r="C343" s="66"/>
      <c r="D343" s="66"/>
      <c r="E343" s="66"/>
      <c r="F343" s="66"/>
      <c r="G343" s="66"/>
      <c r="H343" s="38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</row>
    <row r="344">
      <c r="A344" s="66"/>
      <c r="B344" s="66"/>
      <c r="C344" s="66"/>
      <c r="D344" s="66"/>
      <c r="E344" s="66"/>
      <c r="F344" s="66"/>
      <c r="G344" s="66"/>
      <c r="H344" s="38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</row>
    <row r="345">
      <c r="A345" s="66"/>
      <c r="B345" s="66"/>
      <c r="C345" s="66"/>
      <c r="D345" s="66"/>
      <c r="E345" s="66"/>
      <c r="F345" s="66"/>
      <c r="G345" s="66"/>
      <c r="H345" s="38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</row>
    <row r="346">
      <c r="A346" s="66"/>
      <c r="B346" s="66"/>
      <c r="C346" s="66"/>
      <c r="D346" s="66"/>
      <c r="E346" s="66"/>
      <c r="F346" s="66"/>
      <c r="G346" s="66"/>
      <c r="H346" s="38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</row>
    <row r="347">
      <c r="A347" s="66"/>
      <c r="B347" s="66"/>
      <c r="C347" s="66"/>
      <c r="D347" s="66"/>
      <c r="E347" s="66"/>
      <c r="F347" s="66"/>
      <c r="G347" s="66"/>
      <c r="H347" s="38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</row>
    <row r="348">
      <c r="A348" s="66"/>
      <c r="B348" s="66"/>
      <c r="C348" s="66"/>
      <c r="D348" s="66"/>
      <c r="E348" s="66"/>
      <c r="F348" s="66"/>
      <c r="G348" s="66"/>
      <c r="H348" s="38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</row>
    <row r="349">
      <c r="A349" s="66"/>
      <c r="B349" s="66"/>
      <c r="C349" s="66"/>
      <c r="D349" s="66"/>
      <c r="E349" s="66"/>
      <c r="F349" s="66"/>
      <c r="G349" s="66"/>
      <c r="H349" s="38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</row>
    <row r="350">
      <c r="A350" s="66"/>
      <c r="B350" s="66"/>
      <c r="C350" s="66"/>
      <c r="D350" s="66"/>
      <c r="E350" s="66"/>
      <c r="F350" s="66"/>
      <c r="G350" s="66"/>
      <c r="H350" s="38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</row>
    <row r="351">
      <c r="A351" s="66"/>
      <c r="B351" s="66"/>
      <c r="C351" s="66"/>
      <c r="D351" s="66"/>
      <c r="E351" s="66"/>
      <c r="F351" s="66"/>
      <c r="G351" s="66"/>
      <c r="H351" s="38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</row>
    <row r="352">
      <c r="A352" s="66"/>
      <c r="B352" s="66"/>
      <c r="C352" s="66"/>
      <c r="D352" s="66"/>
      <c r="E352" s="66"/>
      <c r="F352" s="66"/>
      <c r="G352" s="66"/>
      <c r="H352" s="38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</row>
    <row r="353">
      <c r="A353" s="66"/>
      <c r="B353" s="66"/>
      <c r="C353" s="66"/>
      <c r="D353" s="66"/>
      <c r="E353" s="66"/>
      <c r="F353" s="66"/>
      <c r="G353" s="66"/>
      <c r="H353" s="38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</row>
    <row r="354">
      <c r="A354" s="66"/>
      <c r="B354" s="66"/>
      <c r="C354" s="66"/>
      <c r="D354" s="66"/>
      <c r="E354" s="66"/>
      <c r="F354" s="66"/>
      <c r="G354" s="66"/>
      <c r="H354" s="38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</row>
    <row r="355">
      <c r="A355" s="66"/>
      <c r="B355" s="66"/>
      <c r="C355" s="66"/>
      <c r="D355" s="66"/>
      <c r="E355" s="66"/>
      <c r="F355" s="66"/>
      <c r="G355" s="66"/>
      <c r="H355" s="38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</row>
    <row r="356">
      <c r="A356" s="66"/>
      <c r="B356" s="66"/>
      <c r="C356" s="66"/>
      <c r="D356" s="66"/>
      <c r="E356" s="66"/>
      <c r="F356" s="66"/>
      <c r="G356" s="66"/>
      <c r="H356" s="38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</row>
    <row r="357">
      <c r="A357" s="66"/>
      <c r="B357" s="66"/>
      <c r="C357" s="66"/>
      <c r="D357" s="66"/>
      <c r="E357" s="66"/>
      <c r="F357" s="66"/>
      <c r="G357" s="66"/>
      <c r="H357" s="38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</row>
    <row r="358">
      <c r="A358" s="66"/>
      <c r="B358" s="66"/>
      <c r="C358" s="66"/>
      <c r="D358" s="66"/>
      <c r="E358" s="66"/>
      <c r="F358" s="66"/>
      <c r="G358" s="66"/>
      <c r="H358" s="38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</row>
    <row r="359">
      <c r="A359" s="66"/>
      <c r="B359" s="66"/>
      <c r="C359" s="66"/>
      <c r="D359" s="66"/>
      <c r="E359" s="66"/>
      <c r="F359" s="66"/>
      <c r="G359" s="66"/>
      <c r="H359" s="38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</row>
    <row r="360">
      <c r="A360" s="66"/>
      <c r="B360" s="66"/>
      <c r="C360" s="66"/>
      <c r="D360" s="66"/>
      <c r="E360" s="66"/>
      <c r="F360" s="66"/>
      <c r="G360" s="66"/>
      <c r="H360" s="38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</row>
    <row r="361">
      <c r="A361" s="66"/>
      <c r="B361" s="66"/>
      <c r="C361" s="66"/>
      <c r="D361" s="66"/>
      <c r="E361" s="66"/>
      <c r="F361" s="66"/>
      <c r="G361" s="66"/>
      <c r="H361" s="38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</row>
    <row r="362">
      <c r="A362" s="66"/>
      <c r="B362" s="66"/>
      <c r="C362" s="66"/>
      <c r="D362" s="66"/>
      <c r="E362" s="66"/>
      <c r="F362" s="66"/>
      <c r="G362" s="66"/>
      <c r="H362" s="38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</row>
    <row r="363">
      <c r="A363" s="66"/>
      <c r="B363" s="66"/>
      <c r="C363" s="66"/>
      <c r="D363" s="66"/>
      <c r="E363" s="66"/>
      <c r="F363" s="66"/>
      <c r="G363" s="66"/>
      <c r="H363" s="38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</row>
    <row r="364">
      <c r="A364" s="66"/>
      <c r="B364" s="66"/>
      <c r="C364" s="66"/>
      <c r="D364" s="66"/>
      <c r="E364" s="66"/>
      <c r="F364" s="66"/>
      <c r="G364" s="66"/>
      <c r="H364" s="38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</row>
    <row r="365">
      <c r="A365" s="66"/>
      <c r="B365" s="66"/>
      <c r="C365" s="66"/>
      <c r="D365" s="66"/>
      <c r="E365" s="66"/>
      <c r="F365" s="66"/>
      <c r="G365" s="66"/>
      <c r="H365" s="38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</row>
    <row r="366">
      <c r="A366" s="66"/>
      <c r="B366" s="66"/>
      <c r="C366" s="66"/>
      <c r="D366" s="66"/>
      <c r="E366" s="66"/>
      <c r="F366" s="66"/>
      <c r="G366" s="66"/>
      <c r="H366" s="38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</row>
    <row r="367">
      <c r="A367" s="66"/>
      <c r="B367" s="66"/>
      <c r="C367" s="66"/>
      <c r="D367" s="66"/>
      <c r="E367" s="66"/>
      <c r="F367" s="66"/>
      <c r="G367" s="66"/>
      <c r="H367" s="38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</row>
    <row r="368">
      <c r="A368" s="66"/>
      <c r="B368" s="66"/>
      <c r="C368" s="66"/>
      <c r="D368" s="66"/>
      <c r="E368" s="66"/>
      <c r="F368" s="66"/>
      <c r="G368" s="66"/>
      <c r="H368" s="38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</row>
    <row r="369">
      <c r="A369" s="66"/>
      <c r="B369" s="66"/>
      <c r="C369" s="66"/>
      <c r="D369" s="66"/>
      <c r="E369" s="66"/>
      <c r="F369" s="66"/>
      <c r="G369" s="66"/>
      <c r="H369" s="38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</row>
    <row r="370">
      <c r="A370" s="66"/>
      <c r="B370" s="66"/>
      <c r="C370" s="66"/>
      <c r="D370" s="66"/>
      <c r="E370" s="66"/>
      <c r="F370" s="66"/>
      <c r="G370" s="66"/>
      <c r="H370" s="38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</row>
    <row r="371">
      <c r="A371" s="66"/>
      <c r="B371" s="66"/>
      <c r="C371" s="66"/>
      <c r="D371" s="66"/>
      <c r="E371" s="66"/>
      <c r="F371" s="66"/>
      <c r="G371" s="66"/>
      <c r="H371" s="38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</row>
    <row r="372">
      <c r="A372" s="66"/>
      <c r="B372" s="66"/>
      <c r="C372" s="66"/>
      <c r="D372" s="66"/>
      <c r="E372" s="66"/>
      <c r="F372" s="66"/>
      <c r="G372" s="66"/>
      <c r="H372" s="38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</row>
    <row r="373">
      <c r="A373" s="66"/>
      <c r="B373" s="66"/>
      <c r="C373" s="66"/>
      <c r="D373" s="66"/>
      <c r="E373" s="66"/>
      <c r="F373" s="66"/>
      <c r="G373" s="66"/>
      <c r="H373" s="38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</row>
    <row r="374">
      <c r="A374" s="66"/>
      <c r="B374" s="66"/>
      <c r="C374" s="66"/>
      <c r="D374" s="66"/>
      <c r="E374" s="66"/>
      <c r="F374" s="66"/>
      <c r="G374" s="66"/>
      <c r="H374" s="38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</row>
    <row r="375">
      <c r="A375" s="66"/>
      <c r="B375" s="66"/>
      <c r="C375" s="66"/>
      <c r="D375" s="66"/>
      <c r="E375" s="66"/>
      <c r="F375" s="66"/>
      <c r="G375" s="66"/>
      <c r="H375" s="38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</row>
    <row r="376">
      <c r="A376" s="66"/>
      <c r="B376" s="66"/>
      <c r="C376" s="66"/>
      <c r="D376" s="66"/>
      <c r="E376" s="66"/>
      <c r="F376" s="66"/>
      <c r="G376" s="66"/>
      <c r="H376" s="38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</row>
    <row r="377">
      <c r="A377" s="66"/>
      <c r="B377" s="66"/>
      <c r="C377" s="66"/>
      <c r="D377" s="66"/>
      <c r="E377" s="66"/>
      <c r="F377" s="66"/>
      <c r="G377" s="66"/>
      <c r="H377" s="38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</row>
    <row r="378">
      <c r="A378" s="66"/>
      <c r="B378" s="66"/>
      <c r="C378" s="66"/>
      <c r="D378" s="66"/>
      <c r="E378" s="66"/>
      <c r="F378" s="66"/>
      <c r="G378" s="66"/>
      <c r="H378" s="38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</row>
    <row r="379">
      <c r="A379" s="66"/>
      <c r="B379" s="66"/>
      <c r="C379" s="66"/>
      <c r="D379" s="66"/>
      <c r="E379" s="66"/>
      <c r="F379" s="66"/>
      <c r="G379" s="66"/>
      <c r="H379" s="38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</row>
    <row r="380">
      <c r="A380" s="66"/>
      <c r="B380" s="66"/>
      <c r="C380" s="66"/>
      <c r="D380" s="66"/>
      <c r="E380" s="66"/>
      <c r="F380" s="66"/>
      <c r="G380" s="66"/>
      <c r="H380" s="38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</row>
    <row r="381">
      <c r="A381" s="66"/>
      <c r="B381" s="66"/>
      <c r="C381" s="66"/>
      <c r="D381" s="66"/>
      <c r="E381" s="66"/>
      <c r="F381" s="66"/>
      <c r="G381" s="66"/>
      <c r="H381" s="38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</row>
    <row r="382">
      <c r="A382" s="66"/>
      <c r="B382" s="66"/>
      <c r="C382" s="66"/>
      <c r="D382" s="66"/>
      <c r="E382" s="66"/>
      <c r="F382" s="66"/>
      <c r="G382" s="66"/>
      <c r="H382" s="38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</row>
    <row r="383">
      <c r="A383" s="66"/>
      <c r="B383" s="66"/>
      <c r="C383" s="66"/>
      <c r="D383" s="66"/>
      <c r="E383" s="66"/>
      <c r="F383" s="66"/>
      <c r="G383" s="66"/>
      <c r="H383" s="38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</row>
    <row r="384">
      <c r="A384" s="66"/>
      <c r="B384" s="66"/>
      <c r="C384" s="66"/>
      <c r="D384" s="66"/>
      <c r="E384" s="66"/>
      <c r="F384" s="66"/>
      <c r="G384" s="66"/>
      <c r="H384" s="38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</row>
    <row r="385">
      <c r="A385" s="66"/>
      <c r="B385" s="66"/>
      <c r="C385" s="66"/>
      <c r="D385" s="66"/>
      <c r="E385" s="66"/>
      <c r="F385" s="66"/>
      <c r="G385" s="66"/>
      <c r="H385" s="38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</row>
    <row r="386">
      <c r="A386" s="66"/>
      <c r="B386" s="66"/>
      <c r="C386" s="66"/>
      <c r="D386" s="66"/>
      <c r="E386" s="66"/>
      <c r="F386" s="66"/>
      <c r="G386" s="66"/>
      <c r="H386" s="38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</row>
    <row r="387">
      <c r="A387" s="66"/>
      <c r="B387" s="66"/>
      <c r="C387" s="66"/>
      <c r="D387" s="66"/>
      <c r="E387" s="66"/>
      <c r="F387" s="66"/>
      <c r="G387" s="66"/>
      <c r="H387" s="38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</row>
    <row r="388">
      <c r="A388" s="66"/>
      <c r="B388" s="66"/>
      <c r="C388" s="66"/>
      <c r="D388" s="66"/>
      <c r="E388" s="66"/>
      <c r="F388" s="66"/>
      <c r="G388" s="66"/>
      <c r="H388" s="38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</row>
    <row r="389">
      <c r="A389" s="66"/>
      <c r="B389" s="66"/>
      <c r="C389" s="66"/>
      <c r="D389" s="66"/>
      <c r="E389" s="66"/>
      <c r="F389" s="66"/>
      <c r="G389" s="66"/>
      <c r="H389" s="38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</row>
    <row r="390">
      <c r="A390" s="66"/>
      <c r="B390" s="66"/>
      <c r="C390" s="66"/>
      <c r="D390" s="66"/>
      <c r="E390" s="66"/>
      <c r="F390" s="66"/>
      <c r="G390" s="66"/>
      <c r="H390" s="38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</row>
    <row r="391">
      <c r="A391" s="66"/>
      <c r="B391" s="66"/>
      <c r="C391" s="66"/>
      <c r="D391" s="66"/>
      <c r="E391" s="66"/>
      <c r="F391" s="66"/>
      <c r="G391" s="66"/>
      <c r="H391" s="38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</row>
    <row r="392">
      <c r="A392" s="66"/>
      <c r="B392" s="66"/>
      <c r="C392" s="66"/>
      <c r="D392" s="66"/>
      <c r="E392" s="66"/>
      <c r="F392" s="66"/>
      <c r="G392" s="66"/>
      <c r="H392" s="38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</row>
    <row r="393">
      <c r="A393" s="66"/>
      <c r="B393" s="66"/>
      <c r="C393" s="66"/>
      <c r="D393" s="66"/>
      <c r="E393" s="66"/>
      <c r="F393" s="66"/>
      <c r="G393" s="66"/>
      <c r="H393" s="38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</row>
    <row r="394">
      <c r="A394" s="66"/>
      <c r="B394" s="66"/>
      <c r="C394" s="66"/>
      <c r="D394" s="66"/>
      <c r="E394" s="66"/>
      <c r="F394" s="66"/>
      <c r="G394" s="66"/>
      <c r="H394" s="38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</row>
    <row r="395">
      <c r="A395" s="66"/>
      <c r="B395" s="66"/>
      <c r="C395" s="66"/>
      <c r="D395" s="66"/>
      <c r="E395" s="66"/>
      <c r="F395" s="66"/>
      <c r="G395" s="66"/>
      <c r="H395" s="38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</row>
    <row r="396">
      <c r="A396" s="66"/>
      <c r="B396" s="66"/>
      <c r="C396" s="66"/>
      <c r="D396" s="66"/>
      <c r="E396" s="66"/>
      <c r="F396" s="66"/>
      <c r="G396" s="66"/>
      <c r="H396" s="38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</row>
    <row r="397">
      <c r="A397" s="66"/>
      <c r="B397" s="66"/>
      <c r="C397" s="66"/>
      <c r="D397" s="66"/>
      <c r="E397" s="66"/>
      <c r="F397" s="66"/>
      <c r="G397" s="66"/>
      <c r="H397" s="38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</row>
    <row r="398">
      <c r="A398" s="66"/>
      <c r="B398" s="66"/>
      <c r="C398" s="66"/>
      <c r="D398" s="66"/>
      <c r="E398" s="66"/>
      <c r="F398" s="66"/>
      <c r="G398" s="66"/>
      <c r="H398" s="38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</row>
    <row r="399">
      <c r="A399" s="66"/>
      <c r="B399" s="66"/>
      <c r="C399" s="66"/>
      <c r="D399" s="66"/>
      <c r="E399" s="66"/>
      <c r="F399" s="66"/>
      <c r="G399" s="66"/>
      <c r="H399" s="38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</row>
    <row r="400">
      <c r="A400" s="66"/>
      <c r="B400" s="66"/>
      <c r="C400" s="66"/>
      <c r="D400" s="66"/>
      <c r="E400" s="66"/>
      <c r="F400" s="66"/>
      <c r="G400" s="66"/>
      <c r="H400" s="38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</row>
    <row r="401">
      <c r="A401" s="66"/>
      <c r="B401" s="66"/>
      <c r="C401" s="66"/>
      <c r="D401" s="66"/>
      <c r="E401" s="66"/>
      <c r="F401" s="66"/>
      <c r="G401" s="66"/>
      <c r="H401" s="38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</row>
    <row r="402">
      <c r="A402" s="66"/>
      <c r="B402" s="66"/>
      <c r="C402" s="66"/>
      <c r="D402" s="66"/>
      <c r="E402" s="66"/>
      <c r="F402" s="66"/>
      <c r="G402" s="66"/>
      <c r="H402" s="38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</row>
    <row r="403">
      <c r="A403" s="66"/>
      <c r="B403" s="66"/>
      <c r="C403" s="66"/>
      <c r="D403" s="66"/>
      <c r="E403" s="66"/>
      <c r="F403" s="66"/>
      <c r="G403" s="66"/>
      <c r="H403" s="38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</row>
    <row r="404">
      <c r="A404" s="66"/>
      <c r="B404" s="66"/>
      <c r="C404" s="66"/>
      <c r="D404" s="66"/>
      <c r="E404" s="66"/>
      <c r="F404" s="66"/>
      <c r="G404" s="66"/>
      <c r="H404" s="38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</row>
    <row r="405">
      <c r="A405" s="66"/>
      <c r="B405" s="66"/>
      <c r="C405" s="66"/>
      <c r="D405" s="66"/>
      <c r="E405" s="66"/>
      <c r="F405" s="66"/>
      <c r="G405" s="66"/>
      <c r="H405" s="38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</row>
    <row r="406">
      <c r="A406" s="66"/>
      <c r="B406" s="66"/>
      <c r="C406" s="66"/>
      <c r="D406" s="66"/>
      <c r="E406" s="66"/>
      <c r="F406" s="66"/>
      <c r="G406" s="66"/>
      <c r="H406" s="38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</row>
    <row r="407">
      <c r="A407" s="66"/>
      <c r="B407" s="66"/>
      <c r="C407" s="66"/>
      <c r="D407" s="66"/>
      <c r="E407" s="66"/>
      <c r="F407" s="66"/>
      <c r="G407" s="66"/>
      <c r="H407" s="38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</row>
    <row r="408">
      <c r="A408" s="66"/>
      <c r="B408" s="66"/>
      <c r="C408" s="66"/>
      <c r="D408" s="66"/>
      <c r="E408" s="66"/>
      <c r="F408" s="66"/>
      <c r="G408" s="66"/>
      <c r="H408" s="38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</row>
    <row r="409">
      <c r="A409" s="66"/>
      <c r="B409" s="66"/>
      <c r="C409" s="66"/>
      <c r="D409" s="66"/>
      <c r="E409" s="66"/>
      <c r="F409" s="66"/>
      <c r="G409" s="66"/>
      <c r="H409" s="38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</row>
    <row r="410">
      <c r="A410" s="66"/>
      <c r="B410" s="66"/>
      <c r="C410" s="66"/>
      <c r="D410" s="66"/>
      <c r="E410" s="66"/>
      <c r="F410" s="66"/>
      <c r="G410" s="66"/>
      <c r="H410" s="38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</row>
    <row r="411">
      <c r="A411" s="66"/>
      <c r="B411" s="66"/>
      <c r="C411" s="66"/>
      <c r="D411" s="66"/>
      <c r="E411" s="66"/>
      <c r="F411" s="66"/>
      <c r="G411" s="66"/>
      <c r="H411" s="38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</row>
    <row r="412">
      <c r="A412" s="66"/>
      <c r="B412" s="66"/>
      <c r="C412" s="66"/>
      <c r="D412" s="66"/>
      <c r="E412" s="66"/>
      <c r="F412" s="66"/>
      <c r="G412" s="66"/>
      <c r="H412" s="38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</row>
    <row r="413">
      <c r="A413" s="66"/>
      <c r="B413" s="66"/>
      <c r="C413" s="66"/>
      <c r="D413" s="66"/>
      <c r="E413" s="66"/>
      <c r="F413" s="66"/>
      <c r="G413" s="66"/>
      <c r="H413" s="38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</row>
    <row r="414">
      <c r="A414" s="66"/>
      <c r="B414" s="66"/>
      <c r="C414" s="66"/>
      <c r="D414" s="66"/>
      <c r="E414" s="66"/>
      <c r="F414" s="66"/>
      <c r="G414" s="66"/>
      <c r="H414" s="38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</row>
    <row r="415">
      <c r="A415" s="66"/>
      <c r="B415" s="66"/>
      <c r="C415" s="66"/>
      <c r="D415" s="66"/>
      <c r="E415" s="66"/>
      <c r="F415" s="66"/>
      <c r="G415" s="66"/>
      <c r="H415" s="38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</row>
    <row r="416">
      <c r="A416" s="66"/>
      <c r="B416" s="66"/>
      <c r="C416" s="66"/>
      <c r="D416" s="66"/>
      <c r="E416" s="66"/>
      <c r="F416" s="66"/>
      <c r="G416" s="66"/>
      <c r="H416" s="38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</row>
    <row r="417">
      <c r="A417" s="66"/>
      <c r="B417" s="66"/>
      <c r="C417" s="66"/>
      <c r="D417" s="66"/>
      <c r="E417" s="66"/>
      <c r="F417" s="66"/>
      <c r="G417" s="66"/>
      <c r="H417" s="38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</row>
    <row r="418">
      <c r="A418" s="66"/>
      <c r="B418" s="66"/>
      <c r="C418" s="66"/>
      <c r="D418" s="66"/>
      <c r="E418" s="66"/>
      <c r="F418" s="66"/>
      <c r="G418" s="66"/>
      <c r="H418" s="38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</row>
    <row r="419">
      <c r="A419" s="66"/>
      <c r="B419" s="66"/>
      <c r="C419" s="66"/>
      <c r="D419" s="66"/>
      <c r="E419" s="66"/>
      <c r="F419" s="66"/>
      <c r="G419" s="66"/>
      <c r="H419" s="38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</row>
    <row r="420">
      <c r="A420" s="66"/>
      <c r="B420" s="66"/>
      <c r="C420" s="66"/>
      <c r="D420" s="66"/>
      <c r="E420" s="66"/>
      <c r="F420" s="66"/>
      <c r="G420" s="66"/>
      <c r="H420" s="38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</row>
    <row r="421">
      <c r="A421" s="66"/>
      <c r="B421" s="66"/>
      <c r="C421" s="66"/>
      <c r="D421" s="66"/>
      <c r="E421" s="66"/>
      <c r="F421" s="66"/>
      <c r="G421" s="66"/>
      <c r="H421" s="38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</row>
    <row r="422">
      <c r="A422" s="66"/>
      <c r="B422" s="66"/>
      <c r="C422" s="66"/>
      <c r="D422" s="66"/>
      <c r="E422" s="66"/>
      <c r="F422" s="66"/>
      <c r="G422" s="66"/>
      <c r="H422" s="38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</row>
    <row r="423">
      <c r="A423" s="66"/>
      <c r="B423" s="66"/>
      <c r="C423" s="66"/>
      <c r="D423" s="66"/>
      <c r="E423" s="66"/>
      <c r="F423" s="66"/>
      <c r="G423" s="66"/>
      <c r="H423" s="38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</row>
    <row r="424">
      <c r="A424" s="66"/>
      <c r="B424" s="66"/>
      <c r="C424" s="66"/>
      <c r="D424" s="66"/>
      <c r="E424" s="66"/>
      <c r="F424" s="66"/>
      <c r="G424" s="66"/>
      <c r="H424" s="38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</row>
    <row r="425">
      <c r="A425" s="66"/>
      <c r="B425" s="66"/>
      <c r="C425" s="66"/>
      <c r="D425" s="66"/>
      <c r="E425" s="66"/>
      <c r="F425" s="66"/>
      <c r="G425" s="66"/>
      <c r="H425" s="38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</row>
    <row r="426">
      <c r="A426" s="66"/>
      <c r="B426" s="66"/>
      <c r="C426" s="66"/>
      <c r="D426" s="66"/>
      <c r="E426" s="66"/>
      <c r="F426" s="66"/>
      <c r="G426" s="66"/>
      <c r="H426" s="38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</row>
    <row r="427">
      <c r="A427" s="66"/>
      <c r="B427" s="66"/>
      <c r="C427" s="66"/>
      <c r="D427" s="66"/>
      <c r="E427" s="66"/>
      <c r="F427" s="66"/>
      <c r="G427" s="66"/>
      <c r="H427" s="38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</row>
    <row r="428">
      <c r="A428" s="66"/>
      <c r="B428" s="66"/>
      <c r="C428" s="66"/>
      <c r="D428" s="66"/>
      <c r="E428" s="66"/>
      <c r="F428" s="66"/>
      <c r="G428" s="66"/>
      <c r="H428" s="38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</row>
    <row r="429">
      <c r="A429" s="66"/>
      <c r="B429" s="66"/>
      <c r="C429" s="66"/>
      <c r="D429" s="66"/>
      <c r="E429" s="66"/>
      <c r="F429" s="66"/>
      <c r="G429" s="66"/>
      <c r="H429" s="38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</row>
    <row r="430">
      <c r="A430" s="66"/>
      <c r="B430" s="66"/>
      <c r="C430" s="66"/>
      <c r="D430" s="66"/>
      <c r="E430" s="66"/>
      <c r="F430" s="66"/>
      <c r="G430" s="66"/>
      <c r="H430" s="38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</row>
    <row r="431">
      <c r="A431" s="66"/>
      <c r="B431" s="66"/>
      <c r="C431" s="66"/>
      <c r="D431" s="66"/>
      <c r="E431" s="66"/>
      <c r="F431" s="66"/>
      <c r="G431" s="66"/>
      <c r="H431" s="38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</row>
    <row r="432">
      <c r="A432" s="66"/>
      <c r="B432" s="66"/>
      <c r="C432" s="66"/>
      <c r="D432" s="66"/>
      <c r="E432" s="66"/>
      <c r="F432" s="66"/>
      <c r="G432" s="66"/>
      <c r="H432" s="38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</row>
    <row r="433">
      <c r="A433" s="66"/>
      <c r="B433" s="66"/>
      <c r="C433" s="66"/>
      <c r="D433" s="66"/>
      <c r="E433" s="66"/>
      <c r="F433" s="66"/>
      <c r="G433" s="66"/>
      <c r="H433" s="38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</row>
    <row r="434">
      <c r="A434" s="66"/>
      <c r="B434" s="66"/>
      <c r="C434" s="66"/>
      <c r="D434" s="66"/>
      <c r="E434" s="66"/>
      <c r="F434" s="66"/>
      <c r="G434" s="66"/>
      <c r="H434" s="38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</row>
    <row r="435">
      <c r="A435" s="66"/>
      <c r="B435" s="66"/>
      <c r="C435" s="66"/>
      <c r="D435" s="66"/>
      <c r="E435" s="66"/>
      <c r="F435" s="66"/>
      <c r="G435" s="66"/>
      <c r="H435" s="38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</row>
    <row r="436">
      <c r="A436" s="66"/>
      <c r="B436" s="66"/>
      <c r="C436" s="66"/>
      <c r="D436" s="66"/>
      <c r="E436" s="66"/>
      <c r="F436" s="66"/>
      <c r="G436" s="66"/>
      <c r="H436" s="38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</row>
    <row r="437">
      <c r="A437" s="66"/>
      <c r="B437" s="66"/>
      <c r="C437" s="66"/>
      <c r="D437" s="66"/>
      <c r="E437" s="66"/>
      <c r="F437" s="66"/>
      <c r="G437" s="66"/>
      <c r="H437" s="38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</row>
    <row r="438">
      <c r="A438" s="66"/>
      <c r="B438" s="66"/>
      <c r="C438" s="66"/>
      <c r="D438" s="66"/>
      <c r="E438" s="66"/>
      <c r="F438" s="66"/>
      <c r="G438" s="66"/>
      <c r="H438" s="38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</row>
    <row r="439">
      <c r="A439" s="66"/>
      <c r="B439" s="66"/>
      <c r="C439" s="66"/>
      <c r="D439" s="66"/>
      <c r="E439" s="66"/>
      <c r="F439" s="66"/>
      <c r="G439" s="66"/>
      <c r="H439" s="38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</row>
    <row r="440">
      <c r="A440" s="66"/>
      <c r="B440" s="66"/>
      <c r="C440" s="66"/>
      <c r="D440" s="66"/>
      <c r="E440" s="66"/>
      <c r="F440" s="66"/>
      <c r="G440" s="66"/>
      <c r="H440" s="38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</row>
    <row r="441">
      <c r="A441" s="66"/>
      <c r="B441" s="66"/>
      <c r="C441" s="66"/>
      <c r="D441" s="66"/>
      <c r="E441" s="66"/>
      <c r="F441" s="66"/>
      <c r="G441" s="66"/>
      <c r="H441" s="38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</row>
    <row r="442">
      <c r="A442" s="66"/>
      <c r="B442" s="66"/>
      <c r="C442" s="66"/>
      <c r="D442" s="66"/>
      <c r="E442" s="66"/>
      <c r="F442" s="66"/>
      <c r="G442" s="66"/>
      <c r="H442" s="38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</row>
    <row r="443">
      <c r="A443" s="66"/>
      <c r="B443" s="66"/>
      <c r="C443" s="66"/>
      <c r="D443" s="66"/>
      <c r="E443" s="66"/>
      <c r="F443" s="66"/>
      <c r="G443" s="66"/>
      <c r="H443" s="38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</row>
    <row r="444">
      <c r="A444" s="66"/>
      <c r="B444" s="66"/>
      <c r="C444" s="66"/>
      <c r="D444" s="66"/>
      <c r="E444" s="66"/>
      <c r="F444" s="66"/>
      <c r="G444" s="66"/>
      <c r="H444" s="38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</row>
    <row r="445">
      <c r="A445" s="66"/>
      <c r="B445" s="66"/>
      <c r="C445" s="66"/>
      <c r="D445" s="66"/>
      <c r="E445" s="66"/>
      <c r="F445" s="66"/>
      <c r="G445" s="66"/>
      <c r="H445" s="38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</row>
    <row r="446">
      <c r="A446" s="66"/>
      <c r="B446" s="66"/>
      <c r="C446" s="66"/>
      <c r="D446" s="66"/>
      <c r="E446" s="66"/>
      <c r="F446" s="66"/>
      <c r="G446" s="66"/>
      <c r="H446" s="38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</row>
    <row r="447">
      <c r="A447" s="66"/>
      <c r="B447" s="66"/>
      <c r="C447" s="66"/>
      <c r="D447" s="66"/>
      <c r="E447" s="66"/>
      <c r="F447" s="66"/>
      <c r="G447" s="66"/>
      <c r="H447" s="38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</row>
    <row r="448">
      <c r="A448" s="66"/>
      <c r="B448" s="66"/>
      <c r="C448" s="66"/>
      <c r="D448" s="66"/>
      <c r="E448" s="66"/>
      <c r="F448" s="66"/>
      <c r="G448" s="66"/>
      <c r="H448" s="38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</row>
    <row r="449">
      <c r="A449" s="66"/>
      <c r="B449" s="66"/>
      <c r="C449" s="66"/>
      <c r="D449" s="66"/>
      <c r="E449" s="66"/>
      <c r="F449" s="66"/>
      <c r="G449" s="66"/>
      <c r="H449" s="38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</row>
    <row r="450">
      <c r="A450" s="66"/>
      <c r="B450" s="66"/>
      <c r="C450" s="66"/>
      <c r="D450" s="66"/>
      <c r="E450" s="66"/>
      <c r="F450" s="66"/>
      <c r="G450" s="66"/>
      <c r="H450" s="38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</row>
    <row r="451">
      <c r="A451" s="66"/>
      <c r="B451" s="66"/>
      <c r="C451" s="66"/>
      <c r="D451" s="66"/>
      <c r="E451" s="66"/>
      <c r="F451" s="66"/>
      <c r="G451" s="66"/>
      <c r="H451" s="38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</row>
    <row r="452">
      <c r="A452" s="66"/>
      <c r="B452" s="66"/>
      <c r="C452" s="66"/>
      <c r="D452" s="66"/>
      <c r="E452" s="66"/>
      <c r="F452" s="66"/>
      <c r="G452" s="66"/>
      <c r="H452" s="38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</row>
    <row r="453">
      <c r="A453" s="66"/>
      <c r="B453" s="66"/>
      <c r="C453" s="66"/>
      <c r="D453" s="66"/>
      <c r="E453" s="66"/>
      <c r="F453" s="66"/>
      <c r="G453" s="66"/>
      <c r="H453" s="38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</row>
    <row r="454">
      <c r="A454" s="66"/>
      <c r="B454" s="66"/>
      <c r="C454" s="66"/>
      <c r="D454" s="66"/>
      <c r="E454" s="66"/>
      <c r="F454" s="66"/>
      <c r="G454" s="66"/>
      <c r="H454" s="38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</row>
    <row r="455">
      <c r="A455" s="66"/>
      <c r="B455" s="66"/>
      <c r="C455" s="66"/>
      <c r="D455" s="66"/>
      <c r="E455" s="66"/>
      <c r="F455" s="66"/>
      <c r="G455" s="66"/>
      <c r="H455" s="38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</row>
    <row r="456">
      <c r="A456" s="66"/>
      <c r="B456" s="66"/>
      <c r="C456" s="66"/>
      <c r="D456" s="66"/>
      <c r="E456" s="66"/>
      <c r="F456" s="66"/>
      <c r="G456" s="66"/>
      <c r="H456" s="38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</row>
    <row r="457">
      <c r="A457" s="66"/>
      <c r="B457" s="66"/>
      <c r="C457" s="66"/>
      <c r="D457" s="66"/>
      <c r="E457" s="66"/>
      <c r="F457" s="66"/>
      <c r="G457" s="66"/>
      <c r="H457" s="38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</row>
    <row r="458">
      <c r="A458" s="66"/>
      <c r="B458" s="66"/>
      <c r="C458" s="66"/>
      <c r="D458" s="66"/>
      <c r="E458" s="66"/>
      <c r="F458" s="66"/>
      <c r="G458" s="66"/>
      <c r="H458" s="38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</row>
    <row r="459">
      <c r="A459" s="66"/>
      <c r="B459" s="66"/>
      <c r="C459" s="66"/>
      <c r="D459" s="66"/>
      <c r="E459" s="66"/>
      <c r="F459" s="66"/>
      <c r="G459" s="66"/>
      <c r="H459" s="38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</row>
    <row r="460">
      <c r="A460" s="66"/>
      <c r="B460" s="66"/>
      <c r="C460" s="66"/>
      <c r="D460" s="66"/>
      <c r="E460" s="66"/>
      <c r="F460" s="66"/>
      <c r="G460" s="66"/>
      <c r="H460" s="38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</row>
    <row r="461">
      <c r="A461" s="66"/>
      <c r="B461" s="66"/>
      <c r="C461" s="66"/>
      <c r="D461" s="66"/>
      <c r="E461" s="66"/>
      <c r="F461" s="66"/>
      <c r="G461" s="66"/>
      <c r="H461" s="38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</row>
    <row r="462">
      <c r="A462" s="66"/>
      <c r="B462" s="66"/>
      <c r="C462" s="66"/>
      <c r="D462" s="66"/>
      <c r="E462" s="66"/>
      <c r="F462" s="66"/>
      <c r="G462" s="66"/>
      <c r="H462" s="38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</row>
    <row r="463">
      <c r="A463" s="66"/>
      <c r="B463" s="66"/>
      <c r="C463" s="66"/>
      <c r="D463" s="66"/>
      <c r="E463" s="66"/>
      <c r="F463" s="66"/>
      <c r="G463" s="66"/>
      <c r="H463" s="38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</row>
    <row r="464">
      <c r="A464" s="66"/>
      <c r="B464" s="66"/>
      <c r="C464" s="66"/>
      <c r="D464" s="66"/>
      <c r="E464" s="66"/>
      <c r="F464" s="66"/>
      <c r="G464" s="66"/>
      <c r="H464" s="38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</row>
    <row r="465">
      <c r="A465" s="66"/>
      <c r="B465" s="66"/>
      <c r="C465" s="66"/>
      <c r="D465" s="66"/>
      <c r="E465" s="66"/>
      <c r="F465" s="66"/>
      <c r="G465" s="66"/>
      <c r="H465" s="38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</row>
    <row r="466">
      <c r="A466" s="66"/>
      <c r="B466" s="66"/>
      <c r="C466" s="66"/>
      <c r="D466" s="66"/>
      <c r="E466" s="66"/>
      <c r="F466" s="66"/>
      <c r="G466" s="66"/>
      <c r="H466" s="38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</row>
    <row r="467">
      <c r="A467" s="66"/>
      <c r="B467" s="66"/>
      <c r="C467" s="66"/>
      <c r="D467" s="66"/>
      <c r="E467" s="66"/>
      <c r="F467" s="66"/>
      <c r="G467" s="66"/>
      <c r="H467" s="38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</row>
    <row r="468">
      <c r="A468" s="66"/>
      <c r="B468" s="66"/>
      <c r="C468" s="66"/>
      <c r="D468" s="66"/>
      <c r="E468" s="66"/>
      <c r="F468" s="66"/>
      <c r="G468" s="66"/>
      <c r="H468" s="38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</row>
    <row r="469">
      <c r="A469" s="66"/>
      <c r="B469" s="66"/>
      <c r="C469" s="66"/>
      <c r="D469" s="66"/>
      <c r="E469" s="66"/>
      <c r="F469" s="66"/>
      <c r="G469" s="66"/>
      <c r="H469" s="38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</row>
    <row r="470">
      <c r="A470" s="66"/>
      <c r="B470" s="66"/>
      <c r="C470" s="66"/>
      <c r="D470" s="66"/>
      <c r="E470" s="66"/>
      <c r="F470" s="66"/>
      <c r="G470" s="66"/>
      <c r="H470" s="38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</row>
    <row r="471">
      <c r="A471" s="66"/>
      <c r="B471" s="66"/>
      <c r="C471" s="66"/>
      <c r="D471" s="66"/>
      <c r="E471" s="66"/>
      <c r="F471" s="66"/>
      <c r="G471" s="66"/>
      <c r="H471" s="38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</row>
    <row r="472">
      <c r="A472" s="66"/>
      <c r="B472" s="66"/>
      <c r="C472" s="66"/>
      <c r="D472" s="66"/>
      <c r="E472" s="66"/>
      <c r="F472" s="66"/>
      <c r="G472" s="66"/>
      <c r="H472" s="38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</row>
    <row r="473">
      <c r="A473" s="66"/>
      <c r="B473" s="66"/>
      <c r="C473" s="66"/>
      <c r="D473" s="66"/>
      <c r="E473" s="66"/>
      <c r="F473" s="66"/>
      <c r="G473" s="66"/>
      <c r="H473" s="38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</row>
    <row r="474">
      <c r="A474" s="66"/>
      <c r="B474" s="66"/>
      <c r="C474" s="66"/>
      <c r="D474" s="66"/>
      <c r="E474" s="66"/>
      <c r="F474" s="66"/>
      <c r="G474" s="66"/>
      <c r="H474" s="38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</row>
    <row r="475">
      <c r="A475" s="66"/>
      <c r="B475" s="66"/>
      <c r="C475" s="66"/>
      <c r="D475" s="66"/>
      <c r="E475" s="66"/>
      <c r="F475" s="66"/>
      <c r="G475" s="66"/>
      <c r="H475" s="38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</row>
    <row r="476">
      <c r="A476" s="66"/>
      <c r="B476" s="66"/>
      <c r="C476" s="66"/>
      <c r="D476" s="66"/>
      <c r="E476" s="66"/>
      <c r="F476" s="66"/>
      <c r="G476" s="66"/>
      <c r="H476" s="38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</row>
    <row r="477">
      <c r="A477" s="66"/>
      <c r="B477" s="66"/>
      <c r="C477" s="66"/>
      <c r="D477" s="66"/>
      <c r="E477" s="66"/>
      <c r="F477" s="66"/>
      <c r="G477" s="66"/>
      <c r="H477" s="38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</row>
    <row r="478">
      <c r="A478" s="66"/>
      <c r="B478" s="66"/>
      <c r="C478" s="66"/>
      <c r="D478" s="66"/>
      <c r="E478" s="66"/>
      <c r="F478" s="66"/>
      <c r="G478" s="66"/>
      <c r="H478" s="38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</row>
    <row r="479">
      <c r="A479" s="66"/>
      <c r="B479" s="66"/>
      <c r="C479" s="66"/>
      <c r="D479" s="66"/>
      <c r="E479" s="66"/>
      <c r="F479" s="66"/>
      <c r="G479" s="66"/>
      <c r="H479" s="38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</row>
    <row r="480">
      <c r="A480" s="66"/>
      <c r="B480" s="66"/>
      <c r="C480" s="66"/>
      <c r="D480" s="66"/>
      <c r="E480" s="66"/>
      <c r="F480" s="66"/>
      <c r="G480" s="66"/>
      <c r="H480" s="38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</row>
    <row r="481">
      <c r="A481" s="66"/>
      <c r="B481" s="66"/>
      <c r="C481" s="66"/>
      <c r="D481" s="66"/>
      <c r="E481" s="66"/>
      <c r="F481" s="66"/>
      <c r="G481" s="66"/>
      <c r="H481" s="38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</row>
    <row r="482">
      <c r="A482" s="66"/>
      <c r="B482" s="66"/>
      <c r="C482" s="66"/>
      <c r="D482" s="66"/>
      <c r="E482" s="66"/>
      <c r="F482" s="66"/>
      <c r="G482" s="66"/>
      <c r="H482" s="38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</row>
    <row r="483">
      <c r="A483" s="66"/>
      <c r="B483" s="66"/>
      <c r="C483" s="66"/>
      <c r="D483" s="66"/>
      <c r="E483" s="66"/>
      <c r="F483" s="66"/>
      <c r="G483" s="66"/>
      <c r="H483" s="38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</row>
    <row r="484">
      <c r="A484" s="66"/>
      <c r="B484" s="66"/>
      <c r="C484" s="66"/>
      <c r="D484" s="66"/>
      <c r="E484" s="66"/>
      <c r="F484" s="66"/>
      <c r="G484" s="66"/>
      <c r="H484" s="38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</row>
    <row r="485">
      <c r="A485" s="66"/>
      <c r="B485" s="66"/>
      <c r="C485" s="66"/>
      <c r="D485" s="66"/>
      <c r="E485" s="66"/>
      <c r="F485" s="66"/>
      <c r="G485" s="66"/>
      <c r="H485" s="38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</row>
    <row r="486">
      <c r="A486" s="66"/>
      <c r="B486" s="66"/>
      <c r="C486" s="66"/>
      <c r="D486" s="66"/>
      <c r="E486" s="66"/>
      <c r="F486" s="66"/>
      <c r="G486" s="66"/>
      <c r="H486" s="38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</row>
    <row r="487">
      <c r="A487" s="66"/>
      <c r="B487" s="66"/>
      <c r="C487" s="66"/>
      <c r="D487" s="66"/>
      <c r="E487" s="66"/>
      <c r="F487" s="66"/>
      <c r="G487" s="66"/>
      <c r="H487" s="38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</row>
    <row r="488">
      <c r="A488" s="66"/>
      <c r="B488" s="66"/>
      <c r="C488" s="66"/>
      <c r="D488" s="66"/>
      <c r="E488" s="66"/>
      <c r="F488" s="66"/>
      <c r="G488" s="66"/>
      <c r="H488" s="38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</row>
    <row r="489">
      <c r="A489" s="66"/>
      <c r="B489" s="66"/>
      <c r="C489" s="66"/>
      <c r="D489" s="66"/>
      <c r="E489" s="66"/>
      <c r="F489" s="66"/>
      <c r="G489" s="66"/>
      <c r="H489" s="38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</row>
    <row r="490">
      <c r="A490" s="66"/>
      <c r="B490" s="66"/>
      <c r="C490" s="66"/>
      <c r="D490" s="66"/>
      <c r="E490" s="66"/>
      <c r="F490" s="66"/>
      <c r="G490" s="66"/>
      <c r="H490" s="38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</row>
    <row r="491">
      <c r="A491" s="66"/>
      <c r="B491" s="66"/>
      <c r="C491" s="66"/>
      <c r="D491" s="66"/>
      <c r="E491" s="66"/>
      <c r="F491" s="66"/>
      <c r="G491" s="66"/>
      <c r="H491" s="38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</row>
    <row r="492">
      <c r="A492" s="66"/>
      <c r="B492" s="66"/>
      <c r="C492" s="66"/>
      <c r="D492" s="66"/>
      <c r="E492" s="66"/>
      <c r="F492" s="66"/>
      <c r="G492" s="66"/>
      <c r="H492" s="38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</row>
    <row r="493">
      <c r="A493" s="66"/>
      <c r="B493" s="66"/>
      <c r="C493" s="66"/>
      <c r="D493" s="66"/>
      <c r="E493" s="66"/>
      <c r="F493" s="66"/>
      <c r="G493" s="66"/>
      <c r="H493" s="38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</row>
    <row r="494">
      <c r="A494" s="66"/>
      <c r="B494" s="66"/>
      <c r="C494" s="66"/>
      <c r="D494" s="66"/>
      <c r="E494" s="66"/>
      <c r="F494" s="66"/>
      <c r="G494" s="66"/>
      <c r="H494" s="38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</row>
    <row r="495">
      <c r="A495" s="66"/>
      <c r="B495" s="66"/>
      <c r="C495" s="66"/>
      <c r="D495" s="66"/>
      <c r="E495" s="66"/>
      <c r="F495" s="66"/>
      <c r="G495" s="66"/>
      <c r="H495" s="38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</row>
    <row r="496">
      <c r="A496" s="66"/>
      <c r="B496" s="66"/>
      <c r="C496" s="66"/>
      <c r="D496" s="66"/>
      <c r="E496" s="66"/>
      <c r="F496" s="66"/>
      <c r="G496" s="66"/>
      <c r="H496" s="38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</row>
    <row r="497">
      <c r="A497" s="66"/>
      <c r="B497" s="66"/>
      <c r="C497" s="66"/>
      <c r="D497" s="66"/>
      <c r="E497" s="66"/>
      <c r="F497" s="66"/>
      <c r="G497" s="66"/>
      <c r="H497" s="38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</row>
    <row r="498">
      <c r="A498" s="66"/>
      <c r="B498" s="66"/>
      <c r="C498" s="66"/>
      <c r="D498" s="66"/>
      <c r="E498" s="66"/>
      <c r="F498" s="66"/>
      <c r="G498" s="66"/>
      <c r="H498" s="38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</row>
    <row r="499">
      <c r="A499" s="66"/>
      <c r="B499" s="66"/>
      <c r="C499" s="66"/>
      <c r="D499" s="66"/>
      <c r="E499" s="66"/>
      <c r="F499" s="66"/>
      <c r="G499" s="66"/>
      <c r="H499" s="38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</row>
    <row r="500">
      <c r="A500" s="66"/>
      <c r="B500" s="66"/>
      <c r="C500" s="66"/>
      <c r="D500" s="66"/>
      <c r="E500" s="66"/>
      <c r="F500" s="66"/>
      <c r="G500" s="66"/>
      <c r="H500" s="38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</row>
    <row r="501">
      <c r="A501" s="66"/>
      <c r="B501" s="66"/>
      <c r="C501" s="66"/>
      <c r="D501" s="66"/>
      <c r="E501" s="66"/>
      <c r="F501" s="66"/>
      <c r="G501" s="66"/>
      <c r="H501" s="38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</row>
    <row r="502">
      <c r="A502" s="66"/>
      <c r="B502" s="66"/>
      <c r="C502" s="66"/>
      <c r="D502" s="66"/>
      <c r="E502" s="66"/>
      <c r="F502" s="66"/>
      <c r="G502" s="66"/>
      <c r="H502" s="38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</row>
    <row r="503">
      <c r="A503" s="66"/>
      <c r="B503" s="66"/>
      <c r="C503" s="66"/>
      <c r="D503" s="66"/>
      <c r="E503" s="66"/>
      <c r="F503" s="66"/>
      <c r="G503" s="66"/>
      <c r="H503" s="38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</row>
    <row r="504">
      <c r="A504" s="66"/>
      <c r="B504" s="66"/>
      <c r="C504" s="66"/>
      <c r="D504" s="66"/>
      <c r="E504" s="66"/>
      <c r="F504" s="66"/>
      <c r="G504" s="66"/>
      <c r="H504" s="38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</row>
    <row r="505">
      <c r="A505" s="66"/>
      <c r="B505" s="66"/>
      <c r="C505" s="66"/>
      <c r="D505" s="66"/>
      <c r="E505" s="66"/>
      <c r="F505" s="66"/>
      <c r="G505" s="66"/>
      <c r="H505" s="38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</row>
    <row r="506">
      <c r="A506" s="66"/>
      <c r="B506" s="66"/>
      <c r="C506" s="66"/>
      <c r="D506" s="66"/>
      <c r="E506" s="66"/>
      <c r="F506" s="66"/>
      <c r="G506" s="66"/>
      <c r="H506" s="38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</row>
    <row r="507">
      <c r="A507" s="66"/>
      <c r="B507" s="66"/>
      <c r="C507" s="66"/>
      <c r="D507" s="66"/>
      <c r="E507" s="66"/>
      <c r="F507" s="66"/>
      <c r="G507" s="66"/>
      <c r="H507" s="38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</row>
    <row r="508">
      <c r="A508" s="66"/>
      <c r="B508" s="66"/>
      <c r="C508" s="66"/>
      <c r="D508" s="66"/>
      <c r="E508" s="66"/>
      <c r="F508" s="66"/>
      <c r="G508" s="66"/>
      <c r="H508" s="38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</row>
    <row r="509">
      <c r="A509" s="66"/>
      <c r="B509" s="66"/>
      <c r="C509" s="66"/>
      <c r="D509" s="66"/>
      <c r="E509" s="66"/>
      <c r="F509" s="66"/>
      <c r="G509" s="66"/>
      <c r="H509" s="38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</row>
    <row r="510">
      <c r="A510" s="66"/>
      <c r="B510" s="66"/>
      <c r="C510" s="66"/>
      <c r="D510" s="66"/>
      <c r="E510" s="66"/>
      <c r="F510" s="66"/>
      <c r="G510" s="66"/>
      <c r="H510" s="38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</row>
    <row r="511">
      <c r="A511" s="66"/>
      <c r="B511" s="66"/>
      <c r="C511" s="66"/>
      <c r="D511" s="66"/>
      <c r="E511" s="66"/>
      <c r="F511" s="66"/>
      <c r="G511" s="66"/>
      <c r="H511" s="38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</row>
    <row r="512">
      <c r="A512" s="66"/>
      <c r="B512" s="66"/>
      <c r="C512" s="66"/>
      <c r="D512" s="66"/>
      <c r="E512" s="66"/>
      <c r="F512" s="66"/>
      <c r="G512" s="66"/>
      <c r="H512" s="38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</row>
    <row r="513">
      <c r="A513" s="66"/>
      <c r="B513" s="66"/>
      <c r="C513" s="66"/>
      <c r="D513" s="66"/>
      <c r="E513" s="66"/>
      <c r="F513" s="66"/>
      <c r="G513" s="66"/>
      <c r="H513" s="38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</row>
    <row r="514">
      <c r="A514" s="66"/>
      <c r="B514" s="66"/>
      <c r="C514" s="66"/>
      <c r="D514" s="66"/>
      <c r="E514" s="66"/>
      <c r="F514" s="66"/>
      <c r="G514" s="66"/>
      <c r="H514" s="38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</row>
    <row r="515">
      <c r="A515" s="66"/>
      <c r="B515" s="66"/>
      <c r="C515" s="66"/>
      <c r="D515" s="66"/>
      <c r="E515" s="66"/>
      <c r="F515" s="66"/>
      <c r="G515" s="66"/>
      <c r="H515" s="38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</row>
    <row r="516">
      <c r="A516" s="66"/>
      <c r="B516" s="66"/>
      <c r="C516" s="66"/>
      <c r="D516" s="66"/>
      <c r="E516" s="66"/>
      <c r="F516" s="66"/>
      <c r="G516" s="66"/>
      <c r="H516" s="38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</row>
    <row r="517">
      <c r="A517" s="66"/>
      <c r="B517" s="66"/>
      <c r="C517" s="66"/>
      <c r="D517" s="66"/>
      <c r="E517" s="66"/>
      <c r="F517" s="66"/>
      <c r="G517" s="66"/>
      <c r="H517" s="38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</row>
    <row r="518">
      <c r="A518" s="66"/>
      <c r="B518" s="66"/>
      <c r="C518" s="66"/>
      <c r="D518" s="66"/>
      <c r="E518" s="66"/>
      <c r="F518" s="66"/>
      <c r="G518" s="66"/>
      <c r="H518" s="38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</row>
    <row r="519">
      <c r="A519" s="66"/>
      <c r="B519" s="66"/>
      <c r="C519" s="66"/>
      <c r="D519" s="66"/>
      <c r="E519" s="66"/>
      <c r="F519" s="66"/>
      <c r="G519" s="66"/>
      <c r="H519" s="38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</row>
    <row r="520">
      <c r="A520" s="66"/>
      <c r="B520" s="66"/>
      <c r="C520" s="66"/>
      <c r="D520" s="66"/>
      <c r="E520" s="66"/>
      <c r="F520" s="66"/>
      <c r="G520" s="66"/>
      <c r="H520" s="38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</row>
    <row r="521">
      <c r="A521" s="66"/>
      <c r="B521" s="66"/>
      <c r="C521" s="66"/>
      <c r="D521" s="66"/>
      <c r="E521" s="66"/>
      <c r="F521" s="66"/>
      <c r="G521" s="66"/>
      <c r="H521" s="38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</row>
    <row r="522">
      <c r="A522" s="66"/>
      <c r="B522" s="66"/>
      <c r="C522" s="66"/>
      <c r="D522" s="66"/>
      <c r="E522" s="66"/>
      <c r="F522" s="66"/>
      <c r="G522" s="66"/>
      <c r="H522" s="38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</row>
    <row r="523">
      <c r="A523" s="66"/>
      <c r="B523" s="66"/>
      <c r="C523" s="66"/>
      <c r="D523" s="66"/>
      <c r="E523" s="66"/>
      <c r="F523" s="66"/>
      <c r="G523" s="66"/>
      <c r="H523" s="38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</row>
    <row r="524">
      <c r="A524" s="66"/>
      <c r="B524" s="66"/>
      <c r="C524" s="66"/>
      <c r="D524" s="66"/>
      <c r="E524" s="66"/>
      <c r="F524" s="66"/>
      <c r="G524" s="66"/>
      <c r="H524" s="38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</row>
    <row r="525">
      <c r="A525" s="66"/>
      <c r="B525" s="66"/>
      <c r="C525" s="66"/>
      <c r="D525" s="66"/>
      <c r="E525" s="66"/>
      <c r="F525" s="66"/>
      <c r="G525" s="66"/>
      <c r="H525" s="38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</row>
    <row r="526">
      <c r="A526" s="66"/>
      <c r="B526" s="66"/>
      <c r="C526" s="66"/>
      <c r="D526" s="66"/>
      <c r="E526" s="66"/>
      <c r="F526" s="66"/>
      <c r="G526" s="66"/>
      <c r="H526" s="38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</row>
    <row r="527">
      <c r="A527" s="66"/>
      <c r="B527" s="66"/>
      <c r="C527" s="66"/>
      <c r="D527" s="66"/>
      <c r="E527" s="66"/>
      <c r="F527" s="66"/>
      <c r="G527" s="66"/>
      <c r="H527" s="38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</row>
    <row r="528">
      <c r="A528" s="66"/>
      <c r="B528" s="66"/>
      <c r="C528" s="66"/>
      <c r="D528" s="66"/>
      <c r="E528" s="66"/>
      <c r="F528" s="66"/>
      <c r="G528" s="66"/>
      <c r="H528" s="38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</row>
    <row r="529">
      <c r="A529" s="66"/>
      <c r="B529" s="66"/>
      <c r="C529" s="66"/>
      <c r="D529" s="66"/>
      <c r="E529" s="66"/>
      <c r="F529" s="66"/>
      <c r="G529" s="66"/>
      <c r="H529" s="38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</row>
    <row r="530">
      <c r="A530" s="66"/>
      <c r="B530" s="66"/>
      <c r="C530" s="66"/>
      <c r="D530" s="66"/>
      <c r="E530" s="66"/>
      <c r="F530" s="66"/>
      <c r="G530" s="66"/>
      <c r="H530" s="38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</row>
    <row r="531">
      <c r="A531" s="66"/>
      <c r="B531" s="66"/>
      <c r="C531" s="66"/>
      <c r="D531" s="66"/>
      <c r="E531" s="66"/>
      <c r="F531" s="66"/>
      <c r="G531" s="66"/>
      <c r="H531" s="38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</row>
    <row r="532">
      <c r="A532" s="66"/>
      <c r="B532" s="66"/>
      <c r="C532" s="66"/>
      <c r="D532" s="66"/>
      <c r="E532" s="66"/>
      <c r="F532" s="66"/>
      <c r="G532" s="66"/>
      <c r="H532" s="38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</row>
    <row r="533">
      <c r="A533" s="66"/>
      <c r="B533" s="66"/>
      <c r="C533" s="66"/>
      <c r="D533" s="66"/>
      <c r="E533" s="66"/>
      <c r="F533" s="66"/>
      <c r="G533" s="66"/>
      <c r="H533" s="38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</row>
    <row r="534">
      <c r="A534" s="66"/>
      <c r="B534" s="66"/>
      <c r="C534" s="66"/>
      <c r="D534" s="66"/>
      <c r="E534" s="66"/>
      <c r="F534" s="66"/>
      <c r="G534" s="66"/>
      <c r="H534" s="38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</row>
    <row r="535">
      <c r="A535" s="66"/>
      <c r="B535" s="66"/>
      <c r="C535" s="66"/>
      <c r="D535" s="66"/>
      <c r="E535" s="66"/>
      <c r="F535" s="66"/>
      <c r="G535" s="66"/>
      <c r="H535" s="38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</row>
    <row r="536">
      <c r="A536" s="66"/>
      <c r="B536" s="66"/>
      <c r="C536" s="66"/>
      <c r="D536" s="66"/>
      <c r="E536" s="66"/>
      <c r="F536" s="66"/>
      <c r="G536" s="66"/>
      <c r="H536" s="38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</row>
    <row r="537">
      <c r="A537" s="66"/>
      <c r="B537" s="66"/>
      <c r="C537" s="66"/>
      <c r="D537" s="66"/>
      <c r="E537" s="66"/>
      <c r="F537" s="66"/>
      <c r="G537" s="66"/>
      <c r="H537" s="38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</row>
    <row r="538">
      <c r="A538" s="66"/>
      <c r="B538" s="66"/>
      <c r="C538" s="66"/>
      <c r="D538" s="66"/>
      <c r="E538" s="66"/>
      <c r="F538" s="66"/>
      <c r="G538" s="66"/>
      <c r="H538" s="38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</row>
    <row r="539">
      <c r="A539" s="66"/>
      <c r="B539" s="66"/>
      <c r="C539" s="66"/>
      <c r="D539" s="66"/>
      <c r="E539" s="66"/>
      <c r="F539" s="66"/>
      <c r="G539" s="66"/>
      <c r="H539" s="38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</row>
    <row r="540">
      <c r="A540" s="66"/>
      <c r="B540" s="66"/>
      <c r="C540" s="66"/>
      <c r="D540" s="66"/>
      <c r="E540" s="66"/>
      <c r="F540" s="66"/>
      <c r="G540" s="66"/>
      <c r="H540" s="38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</row>
    <row r="541">
      <c r="A541" s="66"/>
      <c r="B541" s="66"/>
      <c r="C541" s="66"/>
      <c r="D541" s="66"/>
      <c r="E541" s="66"/>
      <c r="F541" s="66"/>
      <c r="G541" s="66"/>
      <c r="H541" s="38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</row>
    <row r="542">
      <c r="A542" s="66"/>
      <c r="B542" s="66"/>
      <c r="C542" s="66"/>
      <c r="D542" s="66"/>
      <c r="E542" s="66"/>
      <c r="F542" s="66"/>
      <c r="G542" s="66"/>
      <c r="H542" s="38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</row>
    <row r="543">
      <c r="A543" s="66"/>
      <c r="B543" s="66"/>
      <c r="C543" s="66"/>
      <c r="D543" s="66"/>
      <c r="E543" s="66"/>
      <c r="F543" s="66"/>
      <c r="G543" s="66"/>
      <c r="H543" s="38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</row>
    <row r="544">
      <c r="A544" s="66"/>
      <c r="B544" s="66"/>
      <c r="C544" s="66"/>
      <c r="D544" s="66"/>
      <c r="E544" s="66"/>
      <c r="F544" s="66"/>
      <c r="G544" s="66"/>
      <c r="H544" s="38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</row>
    <row r="545">
      <c r="A545" s="66"/>
      <c r="B545" s="66"/>
      <c r="C545" s="66"/>
      <c r="D545" s="66"/>
      <c r="E545" s="66"/>
      <c r="F545" s="66"/>
      <c r="G545" s="66"/>
      <c r="H545" s="38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</row>
    <row r="546">
      <c r="A546" s="66"/>
      <c r="B546" s="66"/>
      <c r="C546" s="66"/>
      <c r="D546" s="66"/>
      <c r="E546" s="66"/>
      <c r="F546" s="66"/>
      <c r="G546" s="66"/>
      <c r="H546" s="38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</row>
    <row r="547">
      <c r="A547" s="66"/>
      <c r="B547" s="66"/>
      <c r="C547" s="66"/>
      <c r="D547" s="66"/>
      <c r="E547" s="66"/>
      <c r="F547" s="66"/>
      <c r="G547" s="66"/>
      <c r="H547" s="38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</row>
    <row r="548">
      <c r="A548" s="66"/>
      <c r="B548" s="66"/>
      <c r="C548" s="66"/>
      <c r="D548" s="66"/>
      <c r="E548" s="66"/>
      <c r="F548" s="66"/>
      <c r="G548" s="66"/>
      <c r="H548" s="38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</row>
    <row r="549">
      <c r="A549" s="66"/>
      <c r="B549" s="66"/>
      <c r="C549" s="66"/>
      <c r="D549" s="66"/>
      <c r="E549" s="66"/>
      <c r="F549" s="66"/>
      <c r="G549" s="66"/>
      <c r="H549" s="38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</row>
    <row r="550">
      <c r="A550" s="66"/>
      <c r="B550" s="66"/>
      <c r="C550" s="66"/>
      <c r="D550" s="66"/>
      <c r="E550" s="66"/>
      <c r="F550" s="66"/>
      <c r="G550" s="66"/>
      <c r="H550" s="38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</row>
    <row r="551">
      <c r="A551" s="66"/>
      <c r="B551" s="66"/>
      <c r="C551" s="66"/>
      <c r="D551" s="66"/>
      <c r="E551" s="66"/>
      <c r="F551" s="66"/>
      <c r="G551" s="66"/>
      <c r="H551" s="38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</row>
    <row r="552">
      <c r="A552" s="66"/>
      <c r="B552" s="66"/>
      <c r="C552" s="66"/>
      <c r="D552" s="66"/>
      <c r="E552" s="66"/>
      <c r="F552" s="66"/>
      <c r="G552" s="66"/>
      <c r="H552" s="38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</row>
    <row r="553">
      <c r="A553" s="66"/>
      <c r="B553" s="66"/>
      <c r="C553" s="66"/>
      <c r="D553" s="66"/>
      <c r="E553" s="66"/>
      <c r="F553" s="66"/>
      <c r="G553" s="66"/>
      <c r="H553" s="38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</row>
    <row r="554">
      <c r="A554" s="66"/>
      <c r="B554" s="66"/>
      <c r="C554" s="66"/>
      <c r="D554" s="66"/>
      <c r="E554" s="66"/>
      <c r="F554" s="66"/>
      <c r="G554" s="66"/>
      <c r="H554" s="38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</row>
    <row r="555">
      <c r="A555" s="66"/>
      <c r="B555" s="66"/>
      <c r="C555" s="66"/>
      <c r="D555" s="66"/>
      <c r="E555" s="66"/>
      <c r="F555" s="66"/>
      <c r="G555" s="66"/>
      <c r="H555" s="38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</row>
    <row r="556">
      <c r="A556" s="66"/>
      <c r="B556" s="66"/>
      <c r="C556" s="66"/>
      <c r="D556" s="66"/>
      <c r="E556" s="66"/>
      <c r="F556" s="66"/>
      <c r="G556" s="66"/>
      <c r="H556" s="38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</row>
    <row r="557">
      <c r="A557" s="66"/>
      <c r="B557" s="66"/>
      <c r="C557" s="66"/>
      <c r="D557" s="66"/>
      <c r="E557" s="66"/>
      <c r="F557" s="66"/>
      <c r="G557" s="66"/>
      <c r="H557" s="38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</row>
    <row r="558">
      <c r="A558" s="66"/>
      <c r="B558" s="66"/>
      <c r="C558" s="66"/>
      <c r="D558" s="66"/>
      <c r="E558" s="66"/>
      <c r="F558" s="66"/>
      <c r="G558" s="66"/>
      <c r="H558" s="38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</row>
    <row r="559">
      <c r="A559" s="66"/>
      <c r="B559" s="66"/>
      <c r="C559" s="66"/>
      <c r="D559" s="66"/>
      <c r="E559" s="66"/>
      <c r="F559" s="66"/>
      <c r="G559" s="66"/>
      <c r="H559" s="38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</row>
    <row r="560">
      <c r="A560" s="66"/>
      <c r="B560" s="66"/>
      <c r="C560" s="66"/>
      <c r="D560" s="66"/>
      <c r="E560" s="66"/>
      <c r="F560" s="66"/>
      <c r="G560" s="66"/>
      <c r="H560" s="38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</row>
    <row r="561">
      <c r="A561" s="66"/>
      <c r="B561" s="66"/>
      <c r="C561" s="66"/>
      <c r="D561" s="66"/>
      <c r="E561" s="66"/>
      <c r="F561" s="66"/>
      <c r="G561" s="66"/>
      <c r="H561" s="38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</row>
    <row r="562">
      <c r="A562" s="66"/>
      <c r="B562" s="66"/>
      <c r="C562" s="66"/>
      <c r="D562" s="66"/>
      <c r="E562" s="66"/>
      <c r="F562" s="66"/>
      <c r="G562" s="66"/>
      <c r="H562" s="38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</row>
    <row r="563">
      <c r="A563" s="66"/>
      <c r="B563" s="66"/>
      <c r="C563" s="66"/>
      <c r="D563" s="66"/>
      <c r="E563" s="66"/>
      <c r="F563" s="66"/>
      <c r="G563" s="66"/>
      <c r="H563" s="38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</row>
    <row r="564">
      <c r="A564" s="66"/>
      <c r="B564" s="66"/>
      <c r="C564" s="66"/>
      <c r="D564" s="66"/>
      <c r="E564" s="66"/>
      <c r="F564" s="66"/>
      <c r="G564" s="66"/>
      <c r="H564" s="38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</row>
    <row r="565">
      <c r="A565" s="66"/>
      <c r="B565" s="66"/>
      <c r="C565" s="66"/>
      <c r="D565" s="66"/>
      <c r="E565" s="66"/>
      <c r="F565" s="66"/>
      <c r="G565" s="66"/>
      <c r="H565" s="38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</row>
    <row r="566">
      <c r="A566" s="66"/>
      <c r="B566" s="66"/>
      <c r="C566" s="66"/>
      <c r="D566" s="66"/>
      <c r="E566" s="66"/>
      <c r="F566" s="66"/>
      <c r="G566" s="66"/>
      <c r="H566" s="38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</row>
    <row r="567">
      <c r="A567" s="66"/>
      <c r="B567" s="66"/>
      <c r="C567" s="66"/>
      <c r="D567" s="66"/>
      <c r="E567" s="66"/>
      <c r="F567" s="66"/>
      <c r="G567" s="66"/>
      <c r="H567" s="38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</row>
    <row r="568">
      <c r="A568" s="66"/>
      <c r="B568" s="66"/>
      <c r="C568" s="66"/>
      <c r="D568" s="66"/>
      <c r="E568" s="66"/>
      <c r="F568" s="66"/>
      <c r="G568" s="66"/>
      <c r="H568" s="38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</row>
    <row r="569">
      <c r="A569" s="66"/>
      <c r="B569" s="66"/>
      <c r="C569" s="66"/>
      <c r="D569" s="66"/>
      <c r="E569" s="66"/>
      <c r="F569" s="66"/>
      <c r="G569" s="66"/>
      <c r="H569" s="38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</row>
    <row r="570">
      <c r="A570" s="66"/>
      <c r="B570" s="66"/>
      <c r="C570" s="66"/>
      <c r="D570" s="66"/>
      <c r="E570" s="66"/>
      <c r="F570" s="66"/>
      <c r="G570" s="66"/>
      <c r="H570" s="38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</row>
    <row r="571">
      <c r="A571" s="66"/>
      <c r="B571" s="66"/>
      <c r="C571" s="66"/>
      <c r="D571" s="66"/>
      <c r="E571" s="66"/>
      <c r="F571" s="66"/>
      <c r="G571" s="66"/>
      <c r="H571" s="38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</row>
    <row r="572">
      <c r="A572" s="66"/>
      <c r="B572" s="66"/>
      <c r="C572" s="66"/>
      <c r="D572" s="66"/>
      <c r="E572" s="66"/>
      <c r="F572" s="66"/>
      <c r="G572" s="66"/>
      <c r="H572" s="38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</row>
    <row r="573">
      <c r="A573" s="66"/>
      <c r="B573" s="66"/>
      <c r="C573" s="66"/>
      <c r="D573" s="66"/>
      <c r="E573" s="66"/>
      <c r="F573" s="66"/>
      <c r="G573" s="66"/>
      <c r="H573" s="38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</row>
    <row r="574">
      <c r="A574" s="66"/>
      <c r="B574" s="66"/>
      <c r="C574" s="66"/>
      <c r="D574" s="66"/>
      <c r="E574" s="66"/>
      <c r="F574" s="66"/>
      <c r="G574" s="66"/>
      <c r="H574" s="38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</row>
    <row r="575">
      <c r="A575" s="66"/>
      <c r="B575" s="66"/>
      <c r="C575" s="66"/>
      <c r="D575" s="66"/>
      <c r="E575" s="66"/>
      <c r="F575" s="66"/>
      <c r="G575" s="66"/>
      <c r="H575" s="38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</row>
    <row r="576">
      <c r="A576" s="66"/>
      <c r="B576" s="66"/>
      <c r="C576" s="66"/>
      <c r="D576" s="66"/>
      <c r="E576" s="66"/>
      <c r="F576" s="66"/>
      <c r="G576" s="66"/>
      <c r="H576" s="38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</row>
    <row r="577">
      <c r="A577" s="66"/>
      <c r="B577" s="66"/>
      <c r="C577" s="66"/>
      <c r="D577" s="66"/>
      <c r="E577" s="66"/>
      <c r="F577" s="66"/>
      <c r="G577" s="66"/>
      <c r="H577" s="38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</row>
    <row r="578">
      <c r="A578" s="66"/>
      <c r="B578" s="66"/>
      <c r="C578" s="66"/>
      <c r="D578" s="66"/>
      <c r="E578" s="66"/>
      <c r="F578" s="66"/>
      <c r="G578" s="66"/>
      <c r="H578" s="38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</row>
    <row r="579">
      <c r="A579" s="66"/>
      <c r="B579" s="66"/>
      <c r="C579" s="66"/>
      <c r="D579" s="66"/>
      <c r="E579" s="66"/>
      <c r="F579" s="66"/>
      <c r="G579" s="66"/>
      <c r="H579" s="38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</row>
    <row r="580">
      <c r="A580" s="66"/>
      <c r="B580" s="66"/>
      <c r="C580" s="66"/>
      <c r="D580" s="66"/>
      <c r="E580" s="66"/>
      <c r="F580" s="66"/>
      <c r="G580" s="66"/>
      <c r="H580" s="38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</row>
    <row r="581">
      <c r="A581" s="66"/>
      <c r="B581" s="66"/>
      <c r="C581" s="66"/>
      <c r="D581" s="66"/>
      <c r="E581" s="66"/>
      <c r="F581" s="66"/>
      <c r="G581" s="66"/>
      <c r="H581" s="38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</row>
    <row r="582">
      <c r="A582" s="66"/>
      <c r="B582" s="66"/>
      <c r="C582" s="66"/>
      <c r="D582" s="66"/>
      <c r="E582" s="66"/>
      <c r="F582" s="66"/>
      <c r="G582" s="66"/>
      <c r="H582" s="38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</row>
    <row r="583">
      <c r="A583" s="66"/>
      <c r="B583" s="66"/>
      <c r="C583" s="66"/>
      <c r="D583" s="66"/>
      <c r="E583" s="66"/>
      <c r="F583" s="66"/>
      <c r="G583" s="66"/>
      <c r="H583" s="38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</row>
    <row r="584">
      <c r="A584" s="66"/>
      <c r="B584" s="66"/>
      <c r="C584" s="66"/>
      <c r="D584" s="66"/>
      <c r="E584" s="66"/>
      <c r="F584" s="66"/>
      <c r="G584" s="66"/>
      <c r="H584" s="38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</row>
    <row r="585">
      <c r="A585" s="66"/>
      <c r="B585" s="66"/>
      <c r="C585" s="66"/>
      <c r="D585" s="66"/>
      <c r="E585" s="66"/>
      <c r="F585" s="66"/>
      <c r="G585" s="66"/>
      <c r="H585" s="38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</row>
    <row r="586">
      <c r="A586" s="66"/>
      <c r="B586" s="66"/>
      <c r="C586" s="66"/>
      <c r="D586" s="66"/>
      <c r="E586" s="66"/>
      <c r="F586" s="66"/>
      <c r="G586" s="66"/>
      <c r="H586" s="38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</row>
    <row r="587">
      <c r="A587" s="66"/>
      <c r="B587" s="66"/>
      <c r="C587" s="66"/>
      <c r="D587" s="66"/>
      <c r="E587" s="66"/>
      <c r="F587" s="66"/>
      <c r="G587" s="66"/>
      <c r="H587" s="38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</row>
    <row r="588">
      <c r="A588" s="66"/>
      <c r="B588" s="66"/>
      <c r="C588" s="66"/>
      <c r="D588" s="66"/>
      <c r="E588" s="66"/>
      <c r="F588" s="66"/>
      <c r="G588" s="66"/>
      <c r="H588" s="38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</row>
    <row r="589">
      <c r="A589" s="66"/>
      <c r="B589" s="66"/>
      <c r="C589" s="66"/>
      <c r="D589" s="66"/>
      <c r="E589" s="66"/>
      <c r="F589" s="66"/>
      <c r="G589" s="66"/>
      <c r="H589" s="38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</row>
    <row r="590">
      <c r="A590" s="66"/>
      <c r="B590" s="66"/>
      <c r="C590" s="66"/>
      <c r="D590" s="66"/>
      <c r="E590" s="66"/>
      <c r="F590" s="66"/>
      <c r="G590" s="66"/>
      <c r="H590" s="38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</row>
    <row r="591">
      <c r="A591" s="66"/>
      <c r="B591" s="66"/>
      <c r="C591" s="66"/>
      <c r="D591" s="66"/>
      <c r="E591" s="66"/>
      <c r="F591" s="66"/>
      <c r="G591" s="66"/>
      <c r="H591" s="38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</row>
    <row r="592">
      <c r="A592" s="66"/>
      <c r="B592" s="66"/>
      <c r="C592" s="66"/>
      <c r="D592" s="66"/>
      <c r="E592" s="66"/>
      <c r="F592" s="66"/>
      <c r="G592" s="66"/>
      <c r="H592" s="38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</row>
    <row r="593">
      <c r="A593" s="66"/>
      <c r="B593" s="66"/>
      <c r="C593" s="66"/>
      <c r="D593" s="66"/>
      <c r="E593" s="66"/>
      <c r="F593" s="66"/>
      <c r="G593" s="66"/>
      <c r="H593" s="38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</row>
    <row r="594">
      <c r="A594" s="66"/>
      <c r="B594" s="66"/>
      <c r="C594" s="66"/>
      <c r="D594" s="66"/>
      <c r="E594" s="66"/>
      <c r="F594" s="66"/>
      <c r="G594" s="66"/>
      <c r="H594" s="38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</row>
    <row r="595">
      <c r="A595" s="66"/>
      <c r="B595" s="66"/>
      <c r="C595" s="66"/>
      <c r="D595" s="66"/>
      <c r="E595" s="66"/>
      <c r="F595" s="66"/>
      <c r="G595" s="66"/>
      <c r="H595" s="38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</row>
    <row r="596">
      <c r="A596" s="66"/>
      <c r="B596" s="66"/>
      <c r="C596" s="66"/>
      <c r="D596" s="66"/>
      <c r="E596" s="66"/>
      <c r="F596" s="66"/>
      <c r="G596" s="66"/>
      <c r="H596" s="38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</row>
    <row r="597">
      <c r="A597" s="66"/>
      <c r="B597" s="66"/>
      <c r="C597" s="66"/>
      <c r="D597" s="66"/>
      <c r="E597" s="66"/>
      <c r="F597" s="66"/>
      <c r="G597" s="66"/>
      <c r="H597" s="38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</row>
    <row r="598">
      <c r="A598" s="66"/>
      <c r="B598" s="66"/>
      <c r="C598" s="66"/>
      <c r="D598" s="66"/>
      <c r="E598" s="66"/>
      <c r="F598" s="66"/>
      <c r="G598" s="66"/>
      <c r="H598" s="38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</row>
    <row r="599">
      <c r="A599" s="66"/>
      <c r="B599" s="66"/>
      <c r="C599" s="66"/>
      <c r="D599" s="66"/>
      <c r="E599" s="66"/>
      <c r="F599" s="66"/>
      <c r="G599" s="66"/>
      <c r="H599" s="38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</row>
    <row r="600">
      <c r="A600" s="66"/>
      <c r="B600" s="66"/>
      <c r="C600" s="66"/>
      <c r="D600" s="66"/>
      <c r="E600" s="66"/>
      <c r="F600" s="66"/>
      <c r="G600" s="66"/>
      <c r="H600" s="38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</row>
    <row r="601">
      <c r="A601" s="66"/>
      <c r="B601" s="66"/>
      <c r="C601" s="66"/>
      <c r="D601" s="66"/>
      <c r="E601" s="66"/>
      <c r="F601" s="66"/>
      <c r="G601" s="66"/>
      <c r="H601" s="38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</row>
    <row r="602">
      <c r="A602" s="66"/>
      <c r="B602" s="66"/>
      <c r="C602" s="66"/>
      <c r="D602" s="66"/>
      <c r="E602" s="66"/>
      <c r="F602" s="66"/>
      <c r="G602" s="66"/>
      <c r="H602" s="38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</row>
    <row r="603">
      <c r="A603" s="66"/>
      <c r="B603" s="66"/>
      <c r="C603" s="66"/>
      <c r="D603" s="66"/>
      <c r="E603" s="66"/>
      <c r="F603" s="66"/>
      <c r="G603" s="66"/>
      <c r="H603" s="38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</row>
    <row r="604">
      <c r="A604" s="66"/>
      <c r="B604" s="66"/>
      <c r="C604" s="66"/>
      <c r="D604" s="66"/>
      <c r="E604" s="66"/>
      <c r="F604" s="66"/>
      <c r="G604" s="66"/>
      <c r="H604" s="38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</row>
    <row r="605">
      <c r="A605" s="66"/>
      <c r="B605" s="66"/>
      <c r="C605" s="66"/>
      <c r="D605" s="66"/>
      <c r="E605" s="66"/>
      <c r="F605" s="66"/>
      <c r="G605" s="66"/>
      <c r="H605" s="38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</row>
    <row r="606">
      <c r="A606" s="66"/>
      <c r="B606" s="66"/>
      <c r="C606" s="66"/>
      <c r="D606" s="66"/>
      <c r="E606" s="66"/>
      <c r="F606" s="66"/>
      <c r="G606" s="66"/>
      <c r="H606" s="38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</row>
    <row r="607">
      <c r="A607" s="66"/>
      <c r="B607" s="66"/>
      <c r="C607" s="66"/>
      <c r="D607" s="66"/>
      <c r="E607" s="66"/>
      <c r="F607" s="66"/>
      <c r="G607" s="66"/>
      <c r="H607" s="38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</row>
    <row r="608">
      <c r="A608" s="66"/>
      <c r="B608" s="66"/>
      <c r="C608" s="66"/>
      <c r="D608" s="66"/>
      <c r="E608" s="66"/>
      <c r="F608" s="66"/>
      <c r="G608" s="66"/>
      <c r="H608" s="38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</row>
    <row r="609">
      <c r="A609" s="66"/>
      <c r="B609" s="66"/>
      <c r="C609" s="66"/>
      <c r="D609" s="66"/>
      <c r="E609" s="66"/>
      <c r="F609" s="66"/>
      <c r="G609" s="66"/>
      <c r="H609" s="38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</row>
    <row r="610">
      <c r="A610" s="66"/>
      <c r="B610" s="66"/>
      <c r="C610" s="66"/>
      <c r="D610" s="66"/>
      <c r="E610" s="66"/>
      <c r="F610" s="66"/>
      <c r="G610" s="66"/>
      <c r="H610" s="38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</row>
    <row r="611">
      <c r="A611" s="66"/>
      <c r="B611" s="66"/>
      <c r="C611" s="66"/>
      <c r="D611" s="66"/>
      <c r="E611" s="66"/>
      <c r="F611" s="66"/>
      <c r="G611" s="66"/>
      <c r="H611" s="38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</row>
    <row r="612">
      <c r="A612" s="66"/>
      <c r="B612" s="66"/>
      <c r="C612" s="66"/>
      <c r="D612" s="66"/>
      <c r="E612" s="66"/>
      <c r="F612" s="66"/>
      <c r="G612" s="66"/>
      <c r="H612" s="38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</row>
    <row r="613">
      <c r="A613" s="66"/>
      <c r="B613" s="66"/>
      <c r="C613" s="66"/>
      <c r="D613" s="66"/>
      <c r="E613" s="66"/>
      <c r="F613" s="66"/>
      <c r="G613" s="66"/>
      <c r="H613" s="38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</row>
    <row r="614">
      <c r="A614" s="66"/>
      <c r="B614" s="66"/>
      <c r="C614" s="66"/>
      <c r="D614" s="66"/>
      <c r="E614" s="66"/>
      <c r="F614" s="66"/>
      <c r="G614" s="66"/>
      <c r="H614" s="38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</row>
    <row r="615">
      <c r="A615" s="66"/>
      <c r="B615" s="66"/>
      <c r="C615" s="66"/>
      <c r="D615" s="66"/>
      <c r="E615" s="66"/>
      <c r="F615" s="66"/>
      <c r="G615" s="66"/>
      <c r="H615" s="38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</row>
    <row r="616">
      <c r="A616" s="66"/>
      <c r="B616" s="66"/>
      <c r="C616" s="66"/>
      <c r="D616" s="66"/>
      <c r="E616" s="66"/>
      <c r="F616" s="66"/>
      <c r="G616" s="66"/>
      <c r="H616" s="38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</row>
    <row r="617">
      <c r="A617" s="66"/>
      <c r="B617" s="66"/>
      <c r="C617" s="66"/>
      <c r="D617" s="66"/>
      <c r="E617" s="66"/>
      <c r="F617" s="66"/>
      <c r="G617" s="66"/>
      <c r="H617" s="38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</row>
    <row r="618">
      <c r="A618" s="66"/>
      <c r="B618" s="66"/>
      <c r="C618" s="66"/>
      <c r="D618" s="66"/>
      <c r="E618" s="66"/>
      <c r="F618" s="66"/>
      <c r="G618" s="66"/>
      <c r="H618" s="38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</row>
    <row r="619">
      <c r="A619" s="66"/>
      <c r="B619" s="66"/>
      <c r="C619" s="66"/>
      <c r="D619" s="66"/>
      <c r="E619" s="66"/>
      <c r="F619" s="66"/>
      <c r="G619" s="66"/>
      <c r="H619" s="38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</row>
    <row r="620">
      <c r="A620" s="66"/>
      <c r="B620" s="66"/>
      <c r="C620" s="66"/>
      <c r="D620" s="66"/>
      <c r="E620" s="66"/>
      <c r="F620" s="66"/>
      <c r="G620" s="66"/>
      <c r="H620" s="38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</row>
    <row r="621">
      <c r="A621" s="66"/>
      <c r="B621" s="66"/>
      <c r="C621" s="66"/>
      <c r="D621" s="66"/>
      <c r="E621" s="66"/>
      <c r="F621" s="66"/>
      <c r="G621" s="66"/>
      <c r="H621" s="38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</row>
    <row r="622">
      <c r="A622" s="66"/>
      <c r="B622" s="66"/>
      <c r="C622" s="66"/>
      <c r="D622" s="66"/>
      <c r="E622" s="66"/>
      <c r="F622" s="66"/>
      <c r="G622" s="66"/>
      <c r="H622" s="38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</row>
    <row r="623">
      <c r="A623" s="66"/>
      <c r="B623" s="66"/>
      <c r="C623" s="66"/>
      <c r="D623" s="66"/>
      <c r="E623" s="66"/>
      <c r="F623" s="66"/>
      <c r="G623" s="66"/>
      <c r="H623" s="38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</row>
    <row r="624">
      <c r="A624" s="66"/>
      <c r="B624" s="66"/>
      <c r="C624" s="66"/>
      <c r="D624" s="66"/>
      <c r="E624" s="66"/>
      <c r="F624" s="66"/>
      <c r="G624" s="66"/>
      <c r="H624" s="38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</row>
    <row r="625">
      <c r="A625" s="66"/>
      <c r="B625" s="66"/>
      <c r="C625" s="66"/>
      <c r="D625" s="66"/>
      <c r="E625" s="66"/>
      <c r="F625" s="66"/>
      <c r="G625" s="66"/>
      <c r="H625" s="38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</row>
    <row r="626">
      <c r="A626" s="66"/>
      <c r="B626" s="66"/>
      <c r="C626" s="66"/>
      <c r="D626" s="66"/>
      <c r="E626" s="66"/>
      <c r="F626" s="66"/>
      <c r="G626" s="66"/>
      <c r="H626" s="38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</row>
    <row r="627">
      <c r="A627" s="66"/>
      <c r="B627" s="66"/>
      <c r="C627" s="66"/>
      <c r="D627" s="66"/>
      <c r="E627" s="66"/>
      <c r="F627" s="66"/>
      <c r="G627" s="66"/>
      <c r="H627" s="38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</row>
    <row r="628">
      <c r="A628" s="66"/>
      <c r="B628" s="66"/>
      <c r="C628" s="66"/>
      <c r="D628" s="66"/>
      <c r="E628" s="66"/>
      <c r="F628" s="66"/>
      <c r="G628" s="66"/>
      <c r="H628" s="38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</row>
    <row r="629">
      <c r="A629" s="66"/>
      <c r="B629" s="66"/>
      <c r="C629" s="66"/>
      <c r="D629" s="66"/>
      <c r="E629" s="66"/>
      <c r="F629" s="66"/>
      <c r="G629" s="66"/>
      <c r="H629" s="38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</row>
    <row r="630">
      <c r="A630" s="66"/>
      <c r="B630" s="66"/>
      <c r="C630" s="66"/>
      <c r="D630" s="66"/>
      <c r="E630" s="66"/>
      <c r="F630" s="66"/>
      <c r="G630" s="66"/>
      <c r="H630" s="38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</row>
    <row r="631">
      <c r="A631" s="66"/>
      <c r="B631" s="66"/>
      <c r="C631" s="66"/>
      <c r="D631" s="66"/>
      <c r="E631" s="66"/>
      <c r="F631" s="66"/>
      <c r="G631" s="66"/>
      <c r="H631" s="38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</row>
    <row r="632">
      <c r="A632" s="66"/>
      <c r="B632" s="66"/>
      <c r="C632" s="66"/>
      <c r="D632" s="66"/>
      <c r="E632" s="66"/>
      <c r="F632" s="66"/>
      <c r="G632" s="66"/>
      <c r="H632" s="38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</row>
    <row r="633">
      <c r="A633" s="66"/>
      <c r="B633" s="66"/>
      <c r="C633" s="66"/>
      <c r="D633" s="66"/>
      <c r="E633" s="66"/>
      <c r="F633" s="66"/>
      <c r="G633" s="66"/>
      <c r="H633" s="38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</row>
    <row r="634">
      <c r="A634" s="66"/>
      <c r="B634" s="66"/>
      <c r="C634" s="66"/>
      <c r="D634" s="66"/>
      <c r="E634" s="66"/>
      <c r="F634" s="66"/>
      <c r="G634" s="66"/>
      <c r="H634" s="38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</row>
    <row r="635">
      <c r="A635" s="66"/>
      <c r="B635" s="66"/>
      <c r="C635" s="66"/>
      <c r="D635" s="66"/>
      <c r="E635" s="66"/>
      <c r="F635" s="66"/>
      <c r="G635" s="66"/>
      <c r="H635" s="38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</row>
    <row r="636">
      <c r="A636" s="66"/>
      <c r="B636" s="66"/>
      <c r="C636" s="66"/>
      <c r="D636" s="66"/>
      <c r="E636" s="66"/>
      <c r="F636" s="66"/>
      <c r="G636" s="66"/>
      <c r="H636" s="38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</row>
    <row r="637">
      <c r="A637" s="66"/>
      <c r="B637" s="66"/>
      <c r="C637" s="66"/>
      <c r="D637" s="66"/>
      <c r="E637" s="66"/>
      <c r="F637" s="66"/>
      <c r="G637" s="66"/>
      <c r="H637" s="38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</row>
    <row r="638">
      <c r="A638" s="66"/>
      <c r="B638" s="66"/>
      <c r="C638" s="66"/>
      <c r="D638" s="66"/>
      <c r="E638" s="66"/>
      <c r="F638" s="66"/>
      <c r="G638" s="66"/>
      <c r="H638" s="38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</row>
    <row r="639">
      <c r="A639" s="66"/>
      <c r="B639" s="66"/>
      <c r="C639" s="66"/>
      <c r="D639" s="66"/>
      <c r="E639" s="66"/>
      <c r="F639" s="66"/>
      <c r="G639" s="66"/>
      <c r="H639" s="38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</row>
    <row r="640">
      <c r="A640" s="66"/>
      <c r="B640" s="66"/>
      <c r="C640" s="66"/>
      <c r="D640" s="66"/>
      <c r="E640" s="66"/>
      <c r="F640" s="66"/>
      <c r="G640" s="66"/>
      <c r="H640" s="38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</row>
    <row r="641">
      <c r="A641" s="66"/>
      <c r="B641" s="66"/>
      <c r="C641" s="66"/>
      <c r="D641" s="66"/>
      <c r="E641" s="66"/>
      <c r="F641" s="66"/>
      <c r="G641" s="66"/>
      <c r="H641" s="38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</row>
    <row r="642">
      <c r="A642" s="66"/>
      <c r="B642" s="66"/>
      <c r="C642" s="66"/>
      <c r="D642" s="66"/>
      <c r="E642" s="66"/>
      <c r="F642" s="66"/>
      <c r="G642" s="66"/>
      <c r="H642" s="38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</row>
    <row r="643">
      <c r="A643" s="66"/>
      <c r="B643" s="66"/>
      <c r="C643" s="66"/>
      <c r="D643" s="66"/>
      <c r="E643" s="66"/>
      <c r="F643" s="66"/>
      <c r="G643" s="66"/>
      <c r="H643" s="38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</row>
    <row r="644">
      <c r="A644" s="66"/>
      <c r="B644" s="66"/>
      <c r="C644" s="66"/>
      <c r="D644" s="66"/>
      <c r="E644" s="66"/>
      <c r="F644" s="66"/>
      <c r="G644" s="66"/>
      <c r="H644" s="38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</row>
    <row r="645">
      <c r="A645" s="66"/>
      <c r="B645" s="66"/>
      <c r="C645" s="66"/>
      <c r="D645" s="66"/>
      <c r="E645" s="66"/>
      <c r="F645" s="66"/>
      <c r="G645" s="66"/>
      <c r="H645" s="38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</row>
    <row r="646">
      <c r="A646" s="66"/>
      <c r="B646" s="66"/>
      <c r="C646" s="66"/>
      <c r="D646" s="66"/>
      <c r="E646" s="66"/>
      <c r="F646" s="66"/>
      <c r="G646" s="66"/>
      <c r="H646" s="38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</row>
    <row r="647">
      <c r="A647" s="66"/>
      <c r="B647" s="66"/>
      <c r="C647" s="66"/>
      <c r="D647" s="66"/>
      <c r="E647" s="66"/>
      <c r="F647" s="66"/>
      <c r="G647" s="66"/>
      <c r="H647" s="38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</row>
    <row r="648">
      <c r="A648" s="66"/>
      <c r="B648" s="66"/>
      <c r="C648" s="66"/>
      <c r="D648" s="66"/>
      <c r="E648" s="66"/>
      <c r="F648" s="66"/>
      <c r="G648" s="66"/>
      <c r="H648" s="38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</row>
    <row r="649">
      <c r="A649" s="66"/>
      <c r="B649" s="66"/>
      <c r="C649" s="66"/>
      <c r="D649" s="66"/>
      <c r="E649" s="66"/>
      <c r="F649" s="66"/>
      <c r="G649" s="66"/>
      <c r="H649" s="38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</row>
    <row r="650">
      <c r="A650" s="66"/>
      <c r="B650" s="66"/>
      <c r="C650" s="66"/>
      <c r="D650" s="66"/>
      <c r="E650" s="66"/>
      <c r="F650" s="66"/>
      <c r="G650" s="66"/>
      <c r="H650" s="38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</row>
    <row r="651">
      <c r="A651" s="66"/>
      <c r="B651" s="66"/>
      <c r="C651" s="66"/>
      <c r="D651" s="66"/>
      <c r="E651" s="66"/>
      <c r="F651" s="66"/>
      <c r="G651" s="66"/>
      <c r="H651" s="38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</row>
    <row r="652">
      <c r="A652" s="66"/>
      <c r="B652" s="66"/>
      <c r="C652" s="66"/>
      <c r="D652" s="66"/>
      <c r="E652" s="66"/>
      <c r="F652" s="66"/>
      <c r="G652" s="66"/>
      <c r="H652" s="38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</row>
    <row r="653">
      <c r="A653" s="66"/>
      <c r="B653" s="66"/>
      <c r="C653" s="66"/>
      <c r="D653" s="66"/>
      <c r="E653" s="66"/>
      <c r="F653" s="66"/>
      <c r="G653" s="66"/>
      <c r="H653" s="38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</row>
    <row r="654">
      <c r="A654" s="66"/>
      <c r="B654" s="66"/>
      <c r="C654" s="66"/>
      <c r="D654" s="66"/>
      <c r="E654" s="66"/>
      <c r="F654" s="66"/>
      <c r="G654" s="66"/>
      <c r="H654" s="38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</row>
    <row r="655">
      <c r="A655" s="66"/>
      <c r="B655" s="66"/>
      <c r="C655" s="66"/>
      <c r="D655" s="66"/>
      <c r="E655" s="66"/>
      <c r="F655" s="66"/>
      <c r="G655" s="66"/>
      <c r="H655" s="38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</row>
    <row r="656">
      <c r="A656" s="66"/>
      <c r="B656" s="66"/>
      <c r="C656" s="66"/>
      <c r="D656" s="66"/>
      <c r="E656" s="66"/>
      <c r="F656" s="66"/>
      <c r="G656" s="66"/>
      <c r="H656" s="38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</row>
    <row r="657">
      <c r="A657" s="66"/>
      <c r="B657" s="66"/>
      <c r="C657" s="66"/>
      <c r="D657" s="66"/>
      <c r="E657" s="66"/>
      <c r="F657" s="66"/>
      <c r="G657" s="66"/>
      <c r="H657" s="38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</row>
    <row r="658">
      <c r="A658" s="66"/>
      <c r="B658" s="66"/>
      <c r="C658" s="66"/>
      <c r="D658" s="66"/>
      <c r="E658" s="66"/>
      <c r="F658" s="66"/>
      <c r="G658" s="66"/>
      <c r="H658" s="38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</row>
    <row r="659">
      <c r="A659" s="66"/>
      <c r="B659" s="66"/>
      <c r="C659" s="66"/>
      <c r="D659" s="66"/>
      <c r="E659" s="66"/>
      <c r="F659" s="66"/>
      <c r="G659" s="66"/>
      <c r="H659" s="38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</row>
    <row r="660">
      <c r="A660" s="66"/>
      <c r="B660" s="66"/>
      <c r="C660" s="66"/>
      <c r="D660" s="66"/>
      <c r="E660" s="66"/>
      <c r="F660" s="66"/>
      <c r="G660" s="66"/>
      <c r="H660" s="38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</row>
    <row r="661">
      <c r="A661" s="66"/>
      <c r="B661" s="66"/>
      <c r="C661" s="66"/>
      <c r="D661" s="66"/>
      <c r="E661" s="66"/>
      <c r="F661" s="66"/>
      <c r="G661" s="66"/>
      <c r="H661" s="38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</row>
    <row r="662">
      <c r="A662" s="66"/>
      <c r="B662" s="66"/>
      <c r="C662" s="66"/>
      <c r="D662" s="66"/>
      <c r="E662" s="66"/>
      <c r="F662" s="66"/>
      <c r="G662" s="66"/>
      <c r="H662" s="38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</row>
    <row r="663">
      <c r="A663" s="66"/>
      <c r="B663" s="66"/>
      <c r="C663" s="66"/>
      <c r="D663" s="66"/>
      <c r="E663" s="66"/>
      <c r="F663" s="66"/>
      <c r="G663" s="66"/>
      <c r="H663" s="38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</row>
    <row r="664">
      <c r="A664" s="66"/>
      <c r="B664" s="66"/>
      <c r="C664" s="66"/>
      <c r="D664" s="66"/>
      <c r="E664" s="66"/>
      <c r="F664" s="66"/>
      <c r="G664" s="66"/>
      <c r="H664" s="38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</row>
    <row r="665">
      <c r="A665" s="66"/>
      <c r="B665" s="66"/>
      <c r="C665" s="66"/>
      <c r="D665" s="66"/>
      <c r="E665" s="66"/>
      <c r="F665" s="66"/>
      <c r="G665" s="66"/>
      <c r="H665" s="38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</row>
    <row r="666">
      <c r="A666" s="66"/>
      <c r="B666" s="66"/>
      <c r="C666" s="66"/>
      <c r="D666" s="66"/>
      <c r="E666" s="66"/>
      <c r="F666" s="66"/>
      <c r="G666" s="66"/>
      <c r="H666" s="38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</row>
    <row r="667">
      <c r="A667" s="66"/>
      <c r="B667" s="66"/>
      <c r="C667" s="66"/>
      <c r="D667" s="66"/>
      <c r="E667" s="66"/>
      <c r="F667" s="66"/>
      <c r="G667" s="66"/>
      <c r="H667" s="38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</row>
    <row r="668">
      <c r="A668" s="66"/>
      <c r="B668" s="66"/>
      <c r="C668" s="66"/>
      <c r="D668" s="66"/>
      <c r="E668" s="66"/>
      <c r="F668" s="66"/>
      <c r="G668" s="66"/>
      <c r="H668" s="38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</row>
    <row r="669">
      <c r="A669" s="66"/>
      <c r="B669" s="66"/>
      <c r="C669" s="66"/>
      <c r="D669" s="66"/>
      <c r="E669" s="66"/>
      <c r="F669" s="66"/>
      <c r="G669" s="66"/>
      <c r="H669" s="38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</row>
    <row r="670">
      <c r="A670" s="66"/>
      <c r="B670" s="66"/>
      <c r="C670" s="66"/>
      <c r="D670" s="66"/>
      <c r="E670" s="66"/>
      <c r="F670" s="66"/>
      <c r="G670" s="66"/>
      <c r="H670" s="38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</row>
    <row r="671">
      <c r="A671" s="66"/>
      <c r="B671" s="66"/>
      <c r="C671" s="66"/>
      <c r="D671" s="66"/>
      <c r="E671" s="66"/>
      <c r="F671" s="66"/>
      <c r="G671" s="66"/>
      <c r="H671" s="38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</row>
    <row r="672">
      <c r="A672" s="66"/>
      <c r="B672" s="66"/>
      <c r="C672" s="66"/>
      <c r="D672" s="66"/>
      <c r="E672" s="66"/>
      <c r="F672" s="66"/>
      <c r="G672" s="66"/>
      <c r="H672" s="38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</row>
    <row r="673">
      <c r="A673" s="66"/>
      <c r="B673" s="66"/>
      <c r="C673" s="66"/>
      <c r="D673" s="66"/>
      <c r="E673" s="66"/>
      <c r="F673" s="66"/>
      <c r="G673" s="66"/>
      <c r="H673" s="38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</row>
    <row r="674">
      <c r="A674" s="66"/>
      <c r="B674" s="66"/>
      <c r="C674" s="66"/>
      <c r="D674" s="66"/>
      <c r="E674" s="66"/>
      <c r="F674" s="66"/>
      <c r="G674" s="66"/>
      <c r="H674" s="38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</row>
    <row r="675">
      <c r="A675" s="66"/>
      <c r="B675" s="66"/>
      <c r="C675" s="66"/>
      <c r="D675" s="66"/>
      <c r="E675" s="66"/>
      <c r="F675" s="66"/>
      <c r="G675" s="66"/>
      <c r="H675" s="38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</row>
    <row r="676">
      <c r="A676" s="66"/>
      <c r="B676" s="66"/>
      <c r="C676" s="66"/>
      <c r="D676" s="66"/>
      <c r="E676" s="66"/>
      <c r="F676" s="66"/>
      <c r="G676" s="66"/>
      <c r="H676" s="38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</row>
    <row r="677">
      <c r="A677" s="66"/>
      <c r="B677" s="66"/>
      <c r="C677" s="66"/>
      <c r="D677" s="66"/>
      <c r="E677" s="66"/>
      <c r="F677" s="66"/>
      <c r="G677" s="66"/>
      <c r="H677" s="38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</row>
    <row r="678">
      <c r="A678" s="66"/>
      <c r="B678" s="66"/>
      <c r="C678" s="66"/>
      <c r="D678" s="66"/>
      <c r="E678" s="66"/>
      <c r="F678" s="66"/>
      <c r="G678" s="66"/>
      <c r="H678" s="38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</row>
    <row r="679">
      <c r="A679" s="66"/>
      <c r="B679" s="66"/>
      <c r="C679" s="66"/>
      <c r="D679" s="66"/>
      <c r="E679" s="66"/>
      <c r="F679" s="66"/>
      <c r="G679" s="66"/>
      <c r="H679" s="38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</row>
    <row r="680">
      <c r="A680" s="66"/>
      <c r="B680" s="66"/>
      <c r="C680" s="66"/>
      <c r="D680" s="66"/>
      <c r="E680" s="66"/>
      <c r="F680" s="66"/>
      <c r="G680" s="66"/>
      <c r="H680" s="38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</row>
    <row r="681">
      <c r="A681" s="66"/>
      <c r="B681" s="66"/>
      <c r="C681" s="66"/>
      <c r="D681" s="66"/>
      <c r="E681" s="66"/>
      <c r="F681" s="66"/>
      <c r="G681" s="66"/>
      <c r="H681" s="38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</row>
    <row r="682">
      <c r="A682" s="66"/>
      <c r="B682" s="66"/>
      <c r="C682" s="66"/>
      <c r="D682" s="66"/>
      <c r="E682" s="66"/>
      <c r="F682" s="66"/>
      <c r="G682" s="66"/>
      <c r="H682" s="38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</row>
    <row r="683">
      <c r="A683" s="66"/>
      <c r="B683" s="66"/>
      <c r="C683" s="66"/>
      <c r="D683" s="66"/>
      <c r="E683" s="66"/>
      <c r="F683" s="66"/>
      <c r="G683" s="66"/>
      <c r="H683" s="38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</row>
    <row r="684">
      <c r="A684" s="66"/>
      <c r="B684" s="66"/>
      <c r="C684" s="66"/>
      <c r="D684" s="66"/>
      <c r="E684" s="66"/>
      <c r="F684" s="66"/>
      <c r="G684" s="66"/>
      <c r="H684" s="38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</row>
    <row r="685">
      <c r="A685" s="66"/>
      <c r="B685" s="66"/>
      <c r="C685" s="66"/>
      <c r="D685" s="66"/>
      <c r="E685" s="66"/>
      <c r="F685" s="66"/>
      <c r="G685" s="66"/>
      <c r="H685" s="38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</row>
    <row r="686">
      <c r="A686" s="66"/>
      <c r="B686" s="66"/>
      <c r="C686" s="66"/>
      <c r="D686" s="66"/>
      <c r="E686" s="66"/>
      <c r="F686" s="66"/>
      <c r="G686" s="66"/>
      <c r="H686" s="38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</row>
    <row r="687">
      <c r="A687" s="66"/>
      <c r="B687" s="66"/>
      <c r="C687" s="66"/>
      <c r="D687" s="66"/>
      <c r="E687" s="66"/>
      <c r="F687" s="66"/>
      <c r="G687" s="66"/>
      <c r="H687" s="38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</row>
    <row r="688">
      <c r="A688" s="66"/>
      <c r="B688" s="66"/>
      <c r="C688" s="66"/>
      <c r="D688" s="66"/>
      <c r="E688" s="66"/>
      <c r="F688" s="66"/>
      <c r="G688" s="66"/>
      <c r="H688" s="38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</row>
    <row r="689">
      <c r="A689" s="66"/>
      <c r="B689" s="66"/>
      <c r="C689" s="66"/>
      <c r="D689" s="66"/>
      <c r="E689" s="66"/>
      <c r="F689" s="66"/>
      <c r="G689" s="66"/>
      <c r="H689" s="38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</row>
    <row r="690">
      <c r="A690" s="66"/>
      <c r="B690" s="66"/>
      <c r="C690" s="66"/>
      <c r="D690" s="66"/>
      <c r="E690" s="66"/>
      <c r="F690" s="66"/>
      <c r="G690" s="66"/>
      <c r="H690" s="38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</row>
    <row r="691">
      <c r="A691" s="66"/>
      <c r="B691" s="66"/>
      <c r="C691" s="66"/>
      <c r="D691" s="66"/>
      <c r="E691" s="66"/>
      <c r="F691" s="66"/>
      <c r="G691" s="66"/>
      <c r="H691" s="38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</row>
    <row r="692">
      <c r="A692" s="66"/>
      <c r="B692" s="66"/>
      <c r="C692" s="66"/>
      <c r="D692" s="66"/>
      <c r="E692" s="66"/>
      <c r="F692" s="66"/>
      <c r="G692" s="66"/>
      <c r="H692" s="38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</row>
    <row r="693">
      <c r="A693" s="66"/>
      <c r="B693" s="66"/>
      <c r="C693" s="66"/>
      <c r="D693" s="66"/>
      <c r="E693" s="66"/>
      <c r="F693" s="66"/>
      <c r="G693" s="66"/>
      <c r="H693" s="38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</row>
    <row r="694">
      <c r="A694" s="66"/>
      <c r="B694" s="66"/>
      <c r="C694" s="66"/>
      <c r="D694" s="66"/>
      <c r="E694" s="66"/>
      <c r="F694" s="66"/>
      <c r="G694" s="66"/>
      <c r="H694" s="38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</row>
    <row r="695">
      <c r="A695" s="66"/>
      <c r="B695" s="66"/>
      <c r="C695" s="66"/>
      <c r="D695" s="66"/>
      <c r="E695" s="66"/>
      <c r="F695" s="66"/>
      <c r="G695" s="66"/>
      <c r="H695" s="38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</row>
    <row r="696">
      <c r="A696" s="66"/>
      <c r="B696" s="66"/>
      <c r="C696" s="66"/>
      <c r="D696" s="66"/>
      <c r="E696" s="66"/>
      <c r="F696" s="66"/>
      <c r="G696" s="66"/>
      <c r="H696" s="38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</row>
    <row r="697">
      <c r="A697" s="66"/>
      <c r="B697" s="66"/>
      <c r="C697" s="66"/>
      <c r="D697" s="66"/>
      <c r="E697" s="66"/>
      <c r="F697" s="66"/>
      <c r="G697" s="66"/>
      <c r="H697" s="38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</row>
    <row r="698">
      <c r="A698" s="66"/>
      <c r="B698" s="66"/>
      <c r="C698" s="66"/>
      <c r="D698" s="66"/>
      <c r="E698" s="66"/>
      <c r="F698" s="66"/>
      <c r="G698" s="66"/>
      <c r="H698" s="38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</row>
    <row r="699">
      <c r="A699" s="66"/>
      <c r="B699" s="66"/>
      <c r="C699" s="66"/>
      <c r="D699" s="66"/>
      <c r="E699" s="66"/>
      <c r="F699" s="66"/>
      <c r="G699" s="66"/>
      <c r="H699" s="38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</row>
    <row r="700">
      <c r="A700" s="66"/>
      <c r="B700" s="66"/>
      <c r="C700" s="66"/>
      <c r="D700" s="66"/>
      <c r="E700" s="66"/>
      <c r="F700" s="66"/>
      <c r="G700" s="66"/>
      <c r="H700" s="38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</row>
    <row r="701">
      <c r="A701" s="66"/>
      <c r="B701" s="66"/>
      <c r="C701" s="66"/>
      <c r="D701" s="66"/>
      <c r="E701" s="66"/>
      <c r="F701" s="66"/>
      <c r="G701" s="66"/>
      <c r="H701" s="38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</row>
    <row r="702">
      <c r="A702" s="66"/>
      <c r="B702" s="66"/>
      <c r="C702" s="66"/>
      <c r="D702" s="66"/>
      <c r="E702" s="66"/>
      <c r="F702" s="66"/>
      <c r="G702" s="66"/>
      <c r="H702" s="38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</row>
    <row r="703">
      <c r="A703" s="66"/>
      <c r="B703" s="66"/>
      <c r="C703" s="66"/>
      <c r="D703" s="66"/>
      <c r="E703" s="66"/>
      <c r="F703" s="66"/>
      <c r="G703" s="66"/>
      <c r="H703" s="38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</row>
    <row r="704">
      <c r="A704" s="66"/>
      <c r="B704" s="66"/>
      <c r="C704" s="66"/>
      <c r="D704" s="66"/>
      <c r="E704" s="66"/>
      <c r="F704" s="66"/>
      <c r="G704" s="66"/>
      <c r="H704" s="38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</row>
    <row r="705">
      <c r="A705" s="66"/>
      <c r="B705" s="66"/>
      <c r="C705" s="66"/>
      <c r="D705" s="66"/>
      <c r="E705" s="66"/>
      <c r="F705" s="66"/>
      <c r="G705" s="66"/>
      <c r="H705" s="38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</row>
    <row r="706">
      <c r="A706" s="66"/>
      <c r="B706" s="66"/>
      <c r="C706" s="66"/>
      <c r="D706" s="66"/>
      <c r="E706" s="66"/>
      <c r="F706" s="66"/>
      <c r="G706" s="66"/>
      <c r="H706" s="38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</row>
    <row r="707">
      <c r="A707" s="66"/>
      <c r="B707" s="66"/>
      <c r="C707" s="66"/>
      <c r="D707" s="66"/>
      <c r="E707" s="66"/>
      <c r="F707" s="66"/>
      <c r="G707" s="66"/>
      <c r="H707" s="38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</row>
    <row r="708">
      <c r="A708" s="66"/>
      <c r="B708" s="66"/>
      <c r="C708" s="66"/>
      <c r="D708" s="66"/>
      <c r="E708" s="66"/>
      <c r="F708" s="66"/>
      <c r="G708" s="66"/>
      <c r="H708" s="38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</row>
    <row r="709">
      <c r="A709" s="66"/>
      <c r="B709" s="66"/>
      <c r="C709" s="66"/>
      <c r="D709" s="66"/>
      <c r="E709" s="66"/>
      <c r="F709" s="66"/>
      <c r="G709" s="66"/>
      <c r="H709" s="38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</row>
    <row r="710">
      <c r="A710" s="66"/>
      <c r="B710" s="66"/>
      <c r="C710" s="66"/>
      <c r="D710" s="66"/>
      <c r="E710" s="66"/>
      <c r="F710" s="66"/>
      <c r="G710" s="66"/>
      <c r="H710" s="38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</row>
    <row r="711">
      <c r="A711" s="66"/>
      <c r="B711" s="66"/>
      <c r="C711" s="66"/>
      <c r="D711" s="66"/>
      <c r="E711" s="66"/>
      <c r="F711" s="66"/>
      <c r="G711" s="66"/>
      <c r="H711" s="38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</row>
    <row r="712">
      <c r="A712" s="66"/>
      <c r="B712" s="66"/>
      <c r="C712" s="66"/>
      <c r="D712" s="66"/>
      <c r="E712" s="66"/>
      <c r="F712" s="66"/>
      <c r="G712" s="66"/>
      <c r="H712" s="38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</row>
    <row r="713">
      <c r="A713" s="66"/>
      <c r="B713" s="66"/>
      <c r="C713" s="66"/>
      <c r="D713" s="66"/>
      <c r="E713" s="66"/>
      <c r="F713" s="66"/>
      <c r="G713" s="66"/>
      <c r="H713" s="38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</row>
    <row r="714">
      <c r="A714" s="66"/>
      <c r="B714" s="66"/>
      <c r="C714" s="66"/>
      <c r="D714" s="66"/>
      <c r="E714" s="66"/>
      <c r="F714" s="66"/>
      <c r="G714" s="66"/>
      <c r="H714" s="38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</row>
    <row r="715">
      <c r="A715" s="66"/>
      <c r="B715" s="66"/>
      <c r="C715" s="66"/>
      <c r="D715" s="66"/>
      <c r="E715" s="66"/>
      <c r="F715" s="66"/>
      <c r="G715" s="66"/>
      <c r="H715" s="38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</row>
    <row r="716">
      <c r="A716" s="66"/>
      <c r="B716" s="66"/>
      <c r="C716" s="66"/>
      <c r="D716" s="66"/>
      <c r="E716" s="66"/>
      <c r="F716" s="66"/>
      <c r="G716" s="66"/>
      <c r="H716" s="38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</row>
    <row r="717">
      <c r="A717" s="66"/>
      <c r="B717" s="66"/>
      <c r="C717" s="66"/>
      <c r="D717" s="66"/>
      <c r="E717" s="66"/>
      <c r="F717" s="66"/>
      <c r="G717" s="66"/>
      <c r="H717" s="38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</row>
    <row r="718">
      <c r="A718" s="66"/>
      <c r="B718" s="66"/>
      <c r="C718" s="66"/>
      <c r="D718" s="66"/>
      <c r="E718" s="66"/>
      <c r="F718" s="66"/>
      <c r="G718" s="66"/>
      <c r="H718" s="38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</row>
    <row r="719">
      <c r="A719" s="66"/>
      <c r="B719" s="66"/>
      <c r="C719" s="66"/>
      <c r="D719" s="66"/>
      <c r="E719" s="66"/>
      <c r="F719" s="66"/>
      <c r="G719" s="66"/>
      <c r="H719" s="38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</row>
    <row r="720">
      <c r="A720" s="66"/>
      <c r="B720" s="66"/>
      <c r="C720" s="66"/>
      <c r="D720" s="66"/>
      <c r="E720" s="66"/>
      <c r="F720" s="66"/>
      <c r="G720" s="66"/>
      <c r="H720" s="38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</row>
    <row r="721">
      <c r="A721" s="66"/>
      <c r="B721" s="66"/>
      <c r="C721" s="66"/>
      <c r="D721" s="66"/>
      <c r="E721" s="66"/>
      <c r="F721" s="66"/>
      <c r="G721" s="66"/>
      <c r="H721" s="38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</row>
    <row r="722">
      <c r="A722" s="66"/>
      <c r="B722" s="66"/>
      <c r="C722" s="66"/>
      <c r="D722" s="66"/>
      <c r="E722" s="66"/>
      <c r="F722" s="66"/>
      <c r="G722" s="66"/>
      <c r="H722" s="38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</row>
    <row r="723">
      <c r="A723" s="66"/>
      <c r="B723" s="66"/>
      <c r="C723" s="66"/>
      <c r="D723" s="66"/>
      <c r="E723" s="66"/>
      <c r="F723" s="66"/>
      <c r="G723" s="66"/>
      <c r="H723" s="38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</row>
    <row r="724">
      <c r="A724" s="66"/>
      <c r="B724" s="66"/>
      <c r="C724" s="66"/>
      <c r="D724" s="66"/>
      <c r="E724" s="66"/>
      <c r="F724" s="66"/>
      <c r="G724" s="66"/>
      <c r="H724" s="38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</row>
    <row r="725">
      <c r="A725" s="66"/>
      <c r="B725" s="66"/>
      <c r="C725" s="66"/>
      <c r="D725" s="66"/>
      <c r="E725" s="66"/>
      <c r="F725" s="66"/>
      <c r="G725" s="66"/>
      <c r="H725" s="38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</row>
    <row r="726">
      <c r="A726" s="66"/>
      <c r="B726" s="66"/>
      <c r="C726" s="66"/>
      <c r="D726" s="66"/>
      <c r="E726" s="66"/>
      <c r="F726" s="66"/>
      <c r="G726" s="66"/>
      <c r="H726" s="38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</row>
    <row r="727">
      <c r="A727" s="66"/>
      <c r="B727" s="66"/>
      <c r="C727" s="66"/>
      <c r="D727" s="66"/>
      <c r="E727" s="66"/>
      <c r="F727" s="66"/>
      <c r="G727" s="66"/>
      <c r="H727" s="38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</row>
    <row r="728">
      <c r="A728" s="66"/>
      <c r="B728" s="66"/>
      <c r="C728" s="66"/>
      <c r="D728" s="66"/>
      <c r="E728" s="66"/>
      <c r="F728" s="66"/>
      <c r="G728" s="66"/>
      <c r="H728" s="38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</row>
    <row r="729">
      <c r="A729" s="66"/>
      <c r="B729" s="66"/>
      <c r="C729" s="66"/>
      <c r="D729" s="66"/>
      <c r="E729" s="66"/>
      <c r="F729" s="66"/>
      <c r="G729" s="66"/>
      <c r="H729" s="38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</row>
    <row r="730">
      <c r="A730" s="66"/>
      <c r="B730" s="66"/>
      <c r="C730" s="66"/>
      <c r="D730" s="66"/>
      <c r="E730" s="66"/>
      <c r="F730" s="66"/>
      <c r="G730" s="66"/>
      <c r="H730" s="38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</row>
    <row r="731">
      <c r="A731" s="66"/>
      <c r="B731" s="66"/>
      <c r="C731" s="66"/>
      <c r="D731" s="66"/>
      <c r="E731" s="66"/>
      <c r="F731" s="66"/>
      <c r="G731" s="66"/>
      <c r="H731" s="38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</row>
    <row r="732">
      <c r="A732" s="66"/>
      <c r="B732" s="66"/>
      <c r="C732" s="66"/>
      <c r="D732" s="66"/>
      <c r="E732" s="66"/>
      <c r="F732" s="66"/>
      <c r="G732" s="66"/>
      <c r="H732" s="38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</row>
    <row r="733">
      <c r="A733" s="66"/>
      <c r="B733" s="66"/>
      <c r="C733" s="66"/>
      <c r="D733" s="66"/>
      <c r="E733" s="66"/>
      <c r="F733" s="66"/>
      <c r="G733" s="66"/>
      <c r="H733" s="38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</row>
    <row r="734">
      <c r="A734" s="66"/>
      <c r="B734" s="66"/>
      <c r="C734" s="66"/>
      <c r="D734" s="66"/>
      <c r="E734" s="66"/>
      <c r="F734" s="66"/>
      <c r="G734" s="66"/>
      <c r="H734" s="38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</row>
    <row r="735">
      <c r="A735" s="66"/>
      <c r="B735" s="66"/>
      <c r="C735" s="66"/>
      <c r="D735" s="66"/>
      <c r="E735" s="66"/>
      <c r="F735" s="66"/>
      <c r="G735" s="66"/>
      <c r="H735" s="38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</row>
    <row r="736">
      <c r="A736" s="66"/>
      <c r="B736" s="66"/>
      <c r="C736" s="66"/>
      <c r="D736" s="66"/>
      <c r="E736" s="66"/>
      <c r="F736" s="66"/>
      <c r="G736" s="66"/>
      <c r="H736" s="38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</row>
    <row r="737">
      <c r="A737" s="66"/>
      <c r="B737" s="66"/>
      <c r="C737" s="66"/>
      <c r="D737" s="66"/>
      <c r="E737" s="66"/>
      <c r="F737" s="66"/>
      <c r="G737" s="66"/>
      <c r="H737" s="38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</row>
    <row r="738">
      <c r="A738" s="66"/>
      <c r="B738" s="66"/>
      <c r="C738" s="66"/>
      <c r="D738" s="66"/>
      <c r="E738" s="66"/>
      <c r="F738" s="66"/>
      <c r="G738" s="66"/>
      <c r="H738" s="38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</row>
    <row r="739">
      <c r="A739" s="66"/>
      <c r="B739" s="66"/>
      <c r="C739" s="66"/>
      <c r="D739" s="66"/>
      <c r="E739" s="66"/>
      <c r="F739" s="66"/>
      <c r="G739" s="66"/>
      <c r="H739" s="38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</row>
    <row r="740">
      <c r="A740" s="66"/>
      <c r="B740" s="66"/>
      <c r="C740" s="66"/>
      <c r="D740" s="66"/>
      <c r="E740" s="66"/>
      <c r="F740" s="66"/>
      <c r="G740" s="66"/>
      <c r="H740" s="38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</row>
    <row r="741">
      <c r="A741" s="66"/>
      <c r="B741" s="66"/>
      <c r="C741" s="66"/>
      <c r="D741" s="66"/>
      <c r="E741" s="66"/>
      <c r="F741" s="66"/>
      <c r="G741" s="66"/>
      <c r="H741" s="38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</row>
    <row r="742">
      <c r="A742" s="66"/>
      <c r="B742" s="66"/>
      <c r="C742" s="66"/>
      <c r="D742" s="66"/>
      <c r="E742" s="66"/>
      <c r="F742" s="66"/>
      <c r="G742" s="66"/>
      <c r="H742" s="38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</row>
    <row r="743">
      <c r="A743" s="66"/>
      <c r="B743" s="66"/>
      <c r="C743" s="66"/>
      <c r="D743" s="66"/>
      <c r="E743" s="66"/>
      <c r="F743" s="66"/>
      <c r="G743" s="66"/>
      <c r="H743" s="38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</row>
    <row r="744">
      <c r="A744" s="66"/>
      <c r="B744" s="66"/>
      <c r="C744" s="66"/>
      <c r="D744" s="66"/>
      <c r="E744" s="66"/>
      <c r="F744" s="66"/>
      <c r="G744" s="66"/>
      <c r="H744" s="38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</row>
    <row r="745">
      <c r="A745" s="66"/>
      <c r="B745" s="66"/>
      <c r="C745" s="66"/>
      <c r="D745" s="66"/>
      <c r="E745" s="66"/>
      <c r="F745" s="66"/>
      <c r="G745" s="66"/>
      <c r="H745" s="38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</row>
    <row r="746">
      <c r="A746" s="66"/>
      <c r="B746" s="66"/>
      <c r="C746" s="66"/>
      <c r="D746" s="66"/>
      <c r="E746" s="66"/>
      <c r="F746" s="66"/>
      <c r="G746" s="66"/>
      <c r="H746" s="38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</row>
    <row r="747">
      <c r="A747" s="66"/>
      <c r="B747" s="66"/>
      <c r="C747" s="66"/>
      <c r="D747" s="66"/>
      <c r="E747" s="66"/>
      <c r="F747" s="66"/>
      <c r="G747" s="66"/>
      <c r="H747" s="38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</row>
    <row r="748">
      <c r="A748" s="66"/>
      <c r="B748" s="66"/>
      <c r="C748" s="66"/>
      <c r="D748" s="66"/>
      <c r="E748" s="66"/>
      <c r="F748" s="66"/>
      <c r="G748" s="66"/>
      <c r="H748" s="38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</row>
    <row r="749">
      <c r="A749" s="66"/>
      <c r="B749" s="66"/>
      <c r="C749" s="66"/>
      <c r="D749" s="66"/>
      <c r="E749" s="66"/>
      <c r="F749" s="66"/>
      <c r="G749" s="66"/>
      <c r="H749" s="38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</row>
    <row r="750">
      <c r="A750" s="66"/>
      <c r="B750" s="66"/>
      <c r="C750" s="66"/>
      <c r="D750" s="66"/>
      <c r="E750" s="66"/>
      <c r="F750" s="66"/>
      <c r="G750" s="66"/>
      <c r="H750" s="38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</row>
    <row r="751">
      <c r="A751" s="66"/>
      <c r="B751" s="66"/>
      <c r="C751" s="66"/>
      <c r="D751" s="66"/>
      <c r="E751" s="66"/>
      <c r="F751" s="66"/>
      <c r="G751" s="66"/>
      <c r="H751" s="38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</row>
    <row r="752">
      <c r="A752" s="66"/>
      <c r="B752" s="66"/>
      <c r="C752" s="66"/>
      <c r="D752" s="66"/>
      <c r="E752" s="66"/>
      <c r="F752" s="66"/>
      <c r="G752" s="66"/>
      <c r="H752" s="38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</row>
    <row r="753">
      <c r="A753" s="66"/>
      <c r="B753" s="66"/>
      <c r="C753" s="66"/>
      <c r="D753" s="66"/>
      <c r="E753" s="66"/>
      <c r="F753" s="66"/>
      <c r="G753" s="66"/>
      <c r="H753" s="38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</row>
    <row r="754">
      <c r="A754" s="66"/>
      <c r="B754" s="66"/>
      <c r="C754" s="66"/>
      <c r="D754" s="66"/>
      <c r="E754" s="66"/>
      <c r="F754" s="66"/>
      <c r="G754" s="66"/>
      <c r="H754" s="38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</row>
    <row r="755">
      <c r="A755" s="66"/>
      <c r="B755" s="66"/>
      <c r="C755" s="66"/>
      <c r="D755" s="66"/>
      <c r="E755" s="66"/>
      <c r="F755" s="66"/>
      <c r="G755" s="66"/>
      <c r="H755" s="38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</row>
    <row r="756">
      <c r="A756" s="66"/>
      <c r="B756" s="66"/>
      <c r="C756" s="66"/>
      <c r="D756" s="66"/>
      <c r="E756" s="66"/>
      <c r="F756" s="66"/>
      <c r="G756" s="66"/>
      <c r="H756" s="38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</row>
    <row r="757">
      <c r="A757" s="66"/>
      <c r="B757" s="66"/>
      <c r="C757" s="66"/>
      <c r="D757" s="66"/>
      <c r="E757" s="66"/>
      <c r="F757" s="66"/>
      <c r="G757" s="66"/>
      <c r="H757" s="38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</row>
    <row r="758">
      <c r="A758" s="66"/>
      <c r="B758" s="66"/>
      <c r="C758" s="66"/>
      <c r="D758" s="66"/>
      <c r="E758" s="66"/>
      <c r="F758" s="66"/>
      <c r="G758" s="66"/>
      <c r="H758" s="38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</row>
    <row r="759">
      <c r="A759" s="66"/>
      <c r="B759" s="66"/>
      <c r="C759" s="66"/>
      <c r="D759" s="66"/>
      <c r="E759" s="66"/>
      <c r="F759" s="66"/>
      <c r="G759" s="66"/>
      <c r="H759" s="38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</row>
    <row r="760">
      <c r="A760" s="66"/>
      <c r="B760" s="66"/>
      <c r="C760" s="66"/>
      <c r="D760" s="66"/>
      <c r="E760" s="66"/>
      <c r="F760" s="66"/>
      <c r="G760" s="66"/>
      <c r="H760" s="38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</row>
    <row r="761">
      <c r="A761" s="66"/>
      <c r="B761" s="66"/>
      <c r="C761" s="66"/>
      <c r="D761" s="66"/>
      <c r="E761" s="66"/>
      <c r="F761" s="66"/>
      <c r="G761" s="66"/>
      <c r="H761" s="38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</row>
    <row r="762">
      <c r="A762" s="66"/>
      <c r="B762" s="66"/>
      <c r="C762" s="66"/>
      <c r="D762" s="66"/>
      <c r="E762" s="66"/>
      <c r="F762" s="66"/>
      <c r="G762" s="66"/>
      <c r="H762" s="38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</row>
    <row r="763">
      <c r="A763" s="66"/>
      <c r="B763" s="66"/>
      <c r="C763" s="66"/>
      <c r="D763" s="66"/>
      <c r="E763" s="66"/>
      <c r="F763" s="66"/>
      <c r="G763" s="66"/>
      <c r="H763" s="38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</row>
    <row r="764">
      <c r="A764" s="66"/>
      <c r="B764" s="66"/>
      <c r="C764" s="66"/>
      <c r="D764" s="66"/>
      <c r="E764" s="66"/>
      <c r="F764" s="66"/>
      <c r="G764" s="66"/>
      <c r="H764" s="38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</row>
    <row r="765">
      <c r="A765" s="66"/>
      <c r="B765" s="66"/>
      <c r="C765" s="66"/>
      <c r="D765" s="66"/>
      <c r="E765" s="66"/>
      <c r="F765" s="66"/>
      <c r="G765" s="66"/>
      <c r="H765" s="38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</row>
    <row r="766">
      <c r="A766" s="66"/>
      <c r="B766" s="66"/>
      <c r="C766" s="66"/>
      <c r="D766" s="66"/>
      <c r="E766" s="66"/>
      <c r="F766" s="66"/>
      <c r="G766" s="66"/>
      <c r="H766" s="38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</row>
    <row r="767">
      <c r="A767" s="66"/>
      <c r="B767" s="66"/>
      <c r="C767" s="66"/>
      <c r="D767" s="66"/>
      <c r="E767" s="66"/>
      <c r="F767" s="66"/>
      <c r="G767" s="66"/>
      <c r="H767" s="38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</row>
    <row r="768">
      <c r="A768" s="66"/>
      <c r="B768" s="66"/>
      <c r="C768" s="66"/>
      <c r="D768" s="66"/>
      <c r="E768" s="66"/>
      <c r="F768" s="66"/>
      <c r="G768" s="66"/>
      <c r="H768" s="38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</row>
    <row r="769">
      <c r="A769" s="66"/>
      <c r="B769" s="66"/>
      <c r="C769" s="66"/>
      <c r="D769" s="66"/>
      <c r="E769" s="66"/>
      <c r="F769" s="66"/>
      <c r="G769" s="66"/>
      <c r="H769" s="38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</row>
    <row r="770">
      <c r="A770" s="66"/>
      <c r="B770" s="66"/>
      <c r="C770" s="66"/>
      <c r="D770" s="66"/>
      <c r="E770" s="66"/>
      <c r="F770" s="66"/>
      <c r="G770" s="66"/>
      <c r="H770" s="38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</row>
    <row r="771">
      <c r="A771" s="66"/>
      <c r="B771" s="66"/>
      <c r="C771" s="66"/>
      <c r="D771" s="66"/>
      <c r="E771" s="66"/>
      <c r="F771" s="66"/>
      <c r="G771" s="66"/>
      <c r="H771" s="38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</row>
    <row r="772">
      <c r="A772" s="66"/>
      <c r="B772" s="66"/>
      <c r="C772" s="66"/>
      <c r="D772" s="66"/>
      <c r="E772" s="66"/>
      <c r="F772" s="66"/>
      <c r="G772" s="66"/>
      <c r="H772" s="38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</row>
    <row r="773">
      <c r="A773" s="66"/>
      <c r="B773" s="66"/>
      <c r="C773" s="66"/>
      <c r="D773" s="66"/>
      <c r="E773" s="66"/>
      <c r="F773" s="66"/>
      <c r="G773" s="66"/>
      <c r="H773" s="38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</row>
    <row r="774">
      <c r="A774" s="66"/>
      <c r="B774" s="66"/>
      <c r="C774" s="66"/>
      <c r="D774" s="66"/>
      <c r="E774" s="66"/>
      <c r="F774" s="66"/>
      <c r="G774" s="66"/>
      <c r="H774" s="38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</row>
    <row r="775">
      <c r="A775" s="66"/>
      <c r="B775" s="66"/>
      <c r="C775" s="66"/>
      <c r="D775" s="66"/>
      <c r="E775" s="66"/>
      <c r="F775" s="66"/>
      <c r="G775" s="66"/>
      <c r="H775" s="38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</row>
    <row r="776">
      <c r="A776" s="66"/>
      <c r="B776" s="66"/>
      <c r="C776" s="66"/>
      <c r="D776" s="66"/>
      <c r="E776" s="66"/>
      <c r="F776" s="66"/>
      <c r="G776" s="66"/>
      <c r="H776" s="38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</row>
    <row r="777">
      <c r="A777" s="66"/>
      <c r="B777" s="66"/>
      <c r="C777" s="66"/>
      <c r="D777" s="66"/>
      <c r="E777" s="66"/>
      <c r="F777" s="66"/>
      <c r="G777" s="66"/>
      <c r="H777" s="38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</row>
    <row r="778">
      <c r="A778" s="66"/>
      <c r="B778" s="66"/>
      <c r="C778" s="66"/>
      <c r="D778" s="66"/>
      <c r="E778" s="66"/>
      <c r="F778" s="66"/>
      <c r="G778" s="66"/>
      <c r="H778" s="38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</row>
    <row r="779">
      <c r="A779" s="66"/>
      <c r="B779" s="66"/>
      <c r="C779" s="66"/>
      <c r="D779" s="66"/>
      <c r="E779" s="66"/>
      <c r="F779" s="66"/>
      <c r="G779" s="66"/>
      <c r="H779" s="38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</row>
    <row r="780">
      <c r="A780" s="66"/>
      <c r="B780" s="66"/>
      <c r="C780" s="66"/>
      <c r="D780" s="66"/>
      <c r="E780" s="66"/>
      <c r="F780" s="66"/>
      <c r="G780" s="66"/>
      <c r="H780" s="38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</row>
    <row r="781">
      <c r="A781" s="66"/>
      <c r="B781" s="66"/>
      <c r="C781" s="66"/>
      <c r="D781" s="66"/>
      <c r="E781" s="66"/>
      <c r="F781" s="66"/>
      <c r="G781" s="66"/>
      <c r="H781" s="38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</row>
    <row r="782">
      <c r="A782" s="66"/>
      <c r="B782" s="66"/>
      <c r="C782" s="66"/>
      <c r="D782" s="66"/>
      <c r="E782" s="66"/>
      <c r="F782" s="66"/>
      <c r="G782" s="66"/>
      <c r="H782" s="38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</row>
    <row r="783">
      <c r="A783" s="66"/>
      <c r="B783" s="66"/>
      <c r="C783" s="66"/>
      <c r="D783" s="66"/>
      <c r="E783" s="66"/>
      <c r="F783" s="66"/>
      <c r="G783" s="66"/>
      <c r="H783" s="38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</row>
    <row r="784">
      <c r="A784" s="66"/>
      <c r="B784" s="66"/>
      <c r="C784" s="66"/>
      <c r="D784" s="66"/>
      <c r="E784" s="66"/>
      <c r="F784" s="66"/>
      <c r="G784" s="66"/>
      <c r="H784" s="38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</row>
    <row r="785">
      <c r="A785" s="66"/>
      <c r="B785" s="66"/>
      <c r="C785" s="66"/>
      <c r="D785" s="66"/>
      <c r="E785" s="66"/>
      <c r="F785" s="66"/>
      <c r="G785" s="66"/>
      <c r="H785" s="38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</row>
    <row r="786">
      <c r="A786" s="66"/>
      <c r="B786" s="66"/>
      <c r="C786" s="66"/>
      <c r="D786" s="66"/>
      <c r="E786" s="66"/>
      <c r="F786" s="66"/>
      <c r="G786" s="66"/>
      <c r="H786" s="38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</row>
    <row r="787">
      <c r="A787" s="66"/>
      <c r="B787" s="66"/>
      <c r="C787" s="66"/>
      <c r="D787" s="66"/>
      <c r="E787" s="66"/>
      <c r="F787" s="66"/>
      <c r="G787" s="66"/>
      <c r="H787" s="38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</row>
    <row r="788">
      <c r="A788" s="66"/>
      <c r="B788" s="66"/>
      <c r="C788" s="66"/>
      <c r="D788" s="66"/>
      <c r="E788" s="66"/>
      <c r="F788" s="66"/>
      <c r="G788" s="66"/>
      <c r="H788" s="38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</row>
    <row r="789">
      <c r="A789" s="66"/>
      <c r="B789" s="66"/>
      <c r="C789" s="66"/>
      <c r="D789" s="66"/>
      <c r="E789" s="66"/>
      <c r="F789" s="66"/>
      <c r="G789" s="66"/>
      <c r="H789" s="38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</row>
    <row r="790">
      <c r="A790" s="66"/>
      <c r="B790" s="66"/>
      <c r="C790" s="66"/>
      <c r="D790" s="66"/>
      <c r="E790" s="66"/>
      <c r="F790" s="66"/>
      <c r="G790" s="66"/>
      <c r="H790" s="38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</row>
    <row r="791">
      <c r="A791" s="66"/>
      <c r="B791" s="66"/>
      <c r="C791" s="66"/>
      <c r="D791" s="66"/>
      <c r="E791" s="66"/>
      <c r="F791" s="66"/>
      <c r="G791" s="66"/>
      <c r="H791" s="38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</row>
    <row r="792">
      <c r="A792" s="66"/>
      <c r="B792" s="66"/>
      <c r="C792" s="66"/>
      <c r="D792" s="66"/>
      <c r="E792" s="66"/>
      <c r="F792" s="66"/>
      <c r="G792" s="66"/>
      <c r="H792" s="38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</row>
    <row r="793">
      <c r="A793" s="66"/>
      <c r="B793" s="66"/>
      <c r="C793" s="66"/>
      <c r="D793" s="66"/>
      <c r="E793" s="66"/>
      <c r="F793" s="66"/>
      <c r="G793" s="66"/>
      <c r="H793" s="38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</row>
    <row r="794">
      <c r="A794" s="66"/>
      <c r="B794" s="66"/>
      <c r="C794" s="66"/>
      <c r="D794" s="66"/>
      <c r="E794" s="66"/>
      <c r="F794" s="66"/>
      <c r="G794" s="66"/>
      <c r="H794" s="38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</row>
    <row r="795">
      <c r="A795" s="66"/>
      <c r="B795" s="66"/>
      <c r="C795" s="66"/>
      <c r="D795" s="66"/>
      <c r="E795" s="66"/>
      <c r="F795" s="66"/>
      <c r="G795" s="66"/>
      <c r="H795" s="38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</row>
    <row r="796">
      <c r="A796" s="66"/>
      <c r="B796" s="66"/>
      <c r="C796" s="66"/>
      <c r="D796" s="66"/>
      <c r="E796" s="66"/>
      <c r="F796" s="66"/>
      <c r="G796" s="66"/>
      <c r="H796" s="38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</row>
    <row r="797">
      <c r="A797" s="66"/>
      <c r="B797" s="66"/>
      <c r="C797" s="66"/>
      <c r="D797" s="66"/>
      <c r="E797" s="66"/>
      <c r="F797" s="66"/>
      <c r="G797" s="66"/>
      <c r="H797" s="38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</row>
    <row r="798">
      <c r="A798" s="66"/>
      <c r="B798" s="66"/>
      <c r="C798" s="66"/>
      <c r="D798" s="66"/>
      <c r="E798" s="66"/>
      <c r="F798" s="66"/>
      <c r="G798" s="66"/>
      <c r="H798" s="38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</row>
    <row r="799">
      <c r="A799" s="66"/>
      <c r="B799" s="66"/>
      <c r="C799" s="66"/>
      <c r="D799" s="66"/>
      <c r="E799" s="66"/>
      <c r="F799" s="66"/>
      <c r="G799" s="66"/>
      <c r="H799" s="38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</row>
    <row r="800">
      <c r="A800" s="66"/>
      <c r="B800" s="66"/>
      <c r="C800" s="66"/>
      <c r="D800" s="66"/>
      <c r="E800" s="66"/>
      <c r="F800" s="66"/>
      <c r="G800" s="66"/>
      <c r="H800" s="38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</row>
    <row r="801">
      <c r="A801" s="66"/>
      <c r="B801" s="66"/>
      <c r="C801" s="66"/>
      <c r="D801" s="66"/>
      <c r="E801" s="66"/>
      <c r="F801" s="66"/>
      <c r="G801" s="66"/>
      <c r="H801" s="38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</row>
    <row r="802">
      <c r="A802" s="66"/>
      <c r="B802" s="66"/>
      <c r="C802" s="66"/>
      <c r="D802" s="66"/>
      <c r="E802" s="66"/>
      <c r="F802" s="66"/>
      <c r="G802" s="66"/>
      <c r="H802" s="38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</row>
    <row r="803">
      <c r="A803" s="66"/>
      <c r="B803" s="66"/>
      <c r="C803" s="66"/>
      <c r="D803" s="66"/>
      <c r="E803" s="66"/>
      <c r="F803" s="66"/>
      <c r="G803" s="66"/>
      <c r="H803" s="38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</row>
    <row r="804">
      <c r="A804" s="66"/>
      <c r="B804" s="66"/>
      <c r="C804" s="66"/>
      <c r="D804" s="66"/>
      <c r="E804" s="66"/>
      <c r="F804" s="66"/>
      <c r="G804" s="66"/>
      <c r="H804" s="38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</row>
    <row r="805">
      <c r="A805" s="66"/>
      <c r="B805" s="66"/>
      <c r="C805" s="66"/>
      <c r="D805" s="66"/>
      <c r="E805" s="66"/>
      <c r="F805" s="66"/>
      <c r="G805" s="66"/>
      <c r="H805" s="38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</row>
    <row r="806">
      <c r="A806" s="66"/>
      <c r="B806" s="66"/>
      <c r="C806" s="66"/>
      <c r="D806" s="66"/>
      <c r="E806" s="66"/>
      <c r="F806" s="66"/>
      <c r="G806" s="66"/>
      <c r="H806" s="38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</row>
    <row r="807">
      <c r="A807" s="66"/>
      <c r="B807" s="66"/>
      <c r="C807" s="66"/>
      <c r="D807" s="66"/>
      <c r="E807" s="66"/>
      <c r="F807" s="66"/>
      <c r="G807" s="66"/>
      <c r="H807" s="38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</row>
    <row r="808">
      <c r="A808" s="66"/>
      <c r="B808" s="66"/>
      <c r="C808" s="66"/>
      <c r="D808" s="66"/>
      <c r="E808" s="66"/>
      <c r="F808" s="66"/>
      <c r="G808" s="66"/>
      <c r="H808" s="38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</row>
    <row r="809">
      <c r="A809" s="66"/>
      <c r="B809" s="66"/>
      <c r="C809" s="66"/>
      <c r="D809" s="66"/>
      <c r="E809" s="66"/>
      <c r="F809" s="66"/>
      <c r="G809" s="66"/>
      <c r="H809" s="38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</row>
    <row r="810">
      <c r="A810" s="66"/>
      <c r="B810" s="66"/>
      <c r="C810" s="66"/>
      <c r="D810" s="66"/>
      <c r="E810" s="66"/>
      <c r="F810" s="66"/>
      <c r="G810" s="66"/>
      <c r="H810" s="38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</row>
    <row r="811">
      <c r="A811" s="66"/>
      <c r="B811" s="66"/>
      <c r="C811" s="66"/>
      <c r="D811" s="66"/>
      <c r="E811" s="66"/>
      <c r="F811" s="66"/>
      <c r="G811" s="66"/>
      <c r="H811" s="38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</row>
    <row r="812">
      <c r="A812" s="66"/>
      <c r="B812" s="66"/>
      <c r="C812" s="66"/>
      <c r="D812" s="66"/>
      <c r="E812" s="66"/>
      <c r="F812" s="66"/>
      <c r="G812" s="66"/>
      <c r="H812" s="38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</row>
    <row r="813">
      <c r="A813" s="66"/>
      <c r="B813" s="66"/>
      <c r="C813" s="66"/>
      <c r="D813" s="66"/>
      <c r="E813" s="66"/>
      <c r="F813" s="66"/>
      <c r="G813" s="66"/>
      <c r="H813" s="38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</row>
    <row r="814">
      <c r="A814" s="66"/>
      <c r="B814" s="66"/>
      <c r="C814" s="66"/>
      <c r="D814" s="66"/>
      <c r="E814" s="66"/>
      <c r="F814" s="66"/>
      <c r="G814" s="66"/>
      <c r="H814" s="38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</row>
    <row r="815">
      <c r="A815" s="66"/>
      <c r="B815" s="66"/>
      <c r="C815" s="66"/>
      <c r="D815" s="66"/>
      <c r="E815" s="66"/>
      <c r="F815" s="66"/>
      <c r="G815" s="66"/>
      <c r="H815" s="38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</row>
    <row r="816">
      <c r="A816" s="66"/>
      <c r="B816" s="66"/>
      <c r="C816" s="66"/>
      <c r="D816" s="66"/>
      <c r="E816" s="66"/>
      <c r="F816" s="66"/>
      <c r="G816" s="66"/>
      <c r="H816" s="38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</row>
    <row r="817">
      <c r="A817" s="66"/>
      <c r="B817" s="66"/>
      <c r="C817" s="66"/>
      <c r="D817" s="66"/>
      <c r="E817" s="66"/>
      <c r="F817" s="66"/>
      <c r="G817" s="66"/>
      <c r="H817" s="38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</row>
    <row r="818">
      <c r="A818" s="66"/>
      <c r="B818" s="66"/>
      <c r="C818" s="66"/>
      <c r="D818" s="66"/>
      <c r="E818" s="66"/>
      <c r="F818" s="66"/>
      <c r="G818" s="66"/>
      <c r="H818" s="38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</row>
    <row r="819">
      <c r="A819" s="66"/>
      <c r="B819" s="66"/>
      <c r="C819" s="66"/>
      <c r="D819" s="66"/>
      <c r="E819" s="66"/>
      <c r="F819" s="66"/>
      <c r="G819" s="66"/>
      <c r="H819" s="38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</row>
    <row r="820">
      <c r="A820" s="66"/>
      <c r="B820" s="66"/>
      <c r="C820" s="66"/>
      <c r="D820" s="66"/>
      <c r="E820" s="66"/>
      <c r="F820" s="66"/>
      <c r="G820" s="66"/>
      <c r="H820" s="38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</row>
    <row r="821">
      <c r="A821" s="66"/>
      <c r="B821" s="66"/>
      <c r="C821" s="66"/>
      <c r="D821" s="66"/>
      <c r="E821" s="66"/>
      <c r="F821" s="66"/>
      <c r="G821" s="66"/>
      <c r="H821" s="38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</row>
    <row r="822">
      <c r="A822" s="66"/>
      <c r="B822" s="66"/>
      <c r="C822" s="66"/>
      <c r="D822" s="66"/>
      <c r="E822" s="66"/>
      <c r="F822" s="66"/>
      <c r="G822" s="66"/>
      <c r="H822" s="38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</row>
    <row r="823">
      <c r="A823" s="66"/>
      <c r="B823" s="66"/>
      <c r="C823" s="66"/>
      <c r="D823" s="66"/>
      <c r="E823" s="66"/>
      <c r="F823" s="66"/>
      <c r="G823" s="66"/>
      <c r="H823" s="38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</row>
    <row r="824">
      <c r="A824" s="66"/>
      <c r="B824" s="66"/>
      <c r="C824" s="66"/>
      <c r="D824" s="66"/>
      <c r="E824" s="66"/>
      <c r="F824" s="66"/>
      <c r="G824" s="66"/>
      <c r="H824" s="38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</row>
    <row r="825">
      <c r="A825" s="66"/>
      <c r="B825" s="66"/>
      <c r="C825" s="66"/>
      <c r="D825" s="66"/>
      <c r="E825" s="66"/>
      <c r="F825" s="66"/>
      <c r="G825" s="66"/>
      <c r="H825" s="38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</row>
    <row r="826">
      <c r="A826" s="66"/>
      <c r="B826" s="66"/>
      <c r="C826" s="66"/>
      <c r="D826" s="66"/>
      <c r="E826" s="66"/>
      <c r="F826" s="66"/>
      <c r="G826" s="66"/>
      <c r="H826" s="38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</row>
    <row r="827">
      <c r="A827" s="66"/>
      <c r="B827" s="66"/>
      <c r="C827" s="66"/>
      <c r="D827" s="66"/>
      <c r="E827" s="66"/>
      <c r="F827" s="66"/>
      <c r="G827" s="66"/>
      <c r="H827" s="38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</row>
    <row r="828">
      <c r="A828" s="66"/>
      <c r="B828" s="66"/>
      <c r="C828" s="66"/>
      <c r="D828" s="66"/>
      <c r="E828" s="66"/>
      <c r="F828" s="66"/>
      <c r="G828" s="66"/>
      <c r="H828" s="38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</row>
    <row r="829">
      <c r="A829" s="66"/>
      <c r="B829" s="66"/>
      <c r="C829" s="66"/>
      <c r="D829" s="66"/>
      <c r="E829" s="66"/>
      <c r="F829" s="66"/>
      <c r="G829" s="66"/>
      <c r="H829" s="38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</row>
    <row r="830">
      <c r="A830" s="66"/>
      <c r="B830" s="66"/>
      <c r="C830" s="66"/>
      <c r="D830" s="66"/>
      <c r="E830" s="66"/>
      <c r="F830" s="66"/>
      <c r="G830" s="66"/>
      <c r="H830" s="38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</row>
    <row r="831">
      <c r="A831" s="66"/>
      <c r="B831" s="66"/>
      <c r="C831" s="66"/>
      <c r="D831" s="66"/>
      <c r="E831" s="66"/>
      <c r="F831" s="66"/>
      <c r="G831" s="66"/>
      <c r="H831" s="38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</row>
    <row r="832">
      <c r="A832" s="66"/>
      <c r="B832" s="66"/>
      <c r="C832" s="66"/>
      <c r="D832" s="66"/>
      <c r="E832" s="66"/>
      <c r="F832" s="66"/>
      <c r="G832" s="66"/>
      <c r="H832" s="38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</row>
    <row r="833">
      <c r="A833" s="66"/>
      <c r="B833" s="66"/>
      <c r="C833" s="66"/>
      <c r="D833" s="66"/>
      <c r="E833" s="66"/>
      <c r="F833" s="66"/>
      <c r="G833" s="66"/>
      <c r="H833" s="38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</row>
    <row r="834">
      <c r="A834" s="66"/>
      <c r="B834" s="66"/>
      <c r="C834" s="66"/>
      <c r="D834" s="66"/>
      <c r="E834" s="66"/>
      <c r="F834" s="66"/>
      <c r="G834" s="66"/>
      <c r="H834" s="38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</row>
    <row r="835">
      <c r="A835" s="66"/>
      <c r="B835" s="66"/>
      <c r="C835" s="66"/>
      <c r="D835" s="66"/>
      <c r="E835" s="66"/>
      <c r="F835" s="66"/>
      <c r="G835" s="66"/>
      <c r="H835" s="38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</row>
    <row r="836">
      <c r="A836" s="66"/>
      <c r="B836" s="66"/>
      <c r="C836" s="66"/>
      <c r="D836" s="66"/>
      <c r="E836" s="66"/>
      <c r="F836" s="66"/>
      <c r="G836" s="66"/>
      <c r="H836" s="38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</row>
    <row r="837">
      <c r="A837" s="66"/>
      <c r="B837" s="66"/>
      <c r="C837" s="66"/>
      <c r="D837" s="66"/>
      <c r="E837" s="66"/>
      <c r="F837" s="66"/>
      <c r="G837" s="66"/>
      <c r="H837" s="38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</row>
    <row r="838">
      <c r="A838" s="66"/>
      <c r="B838" s="66"/>
      <c r="C838" s="66"/>
      <c r="D838" s="66"/>
      <c r="E838" s="66"/>
      <c r="F838" s="66"/>
      <c r="G838" s="66"/>
      <c r="H838" s="38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</row>
    <row r="839">
      <c r="A839" s="66"/>
      <c r="B839" s="66"/>
      <c r="C839" s="66"/>
      <c r="D839" s="66"/>
      <c r="E839" s="66"/>
      <c r="F839" s="66"/>
      <c r="G839" s="66"/>
      <c r="H839" s="38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</row>
    <row r="840">
      <c r="A840" s="66"/>
      <c r="B840" s="66"/>
      <c r="C840" s="66"/>
      <c r="D840" s="66"/>
      <c r="E840" s="66"/>
      <c r="F840" s="66"/>
      <c r="G840" s="66"/>
      <c r="H840" s="38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</row>
    <row r="841">
      <c r="A841" s="66"/>
      <c r="B841" s="66"/>
      <c r="C841" s="66"/>
      <c r="D841" s="66"/>
      <c r="E841" s="66"/>
      <c r="F841" s="66"/>
      <c r="G841" s="66"/>
      <c r="H841" s="38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</row>
    <row r="842">
      <c r="A842" s="66"/>
      <c r="B842" s="66"/>
      <c r="C842" s="66"/>
      <c r="D842" s="66"/>
      <c r="E842" s="66"/>
      <c r="F842" s="66"/>
      <c r="G842" s="66"/>
      <c r="H842" s="38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</row>
    <row r="843">
      <c r="A843" s="66"/>
      <c r="B843" s="66"/>
      <c r="C843" s="66"/>
      <c r="D843" s="66"/>
      <c r="E843" s="66"/>
      <c r="F843" s="66"/>
      <c r="G843" s="66"/>
      <c r="H843" s="38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</row>
    <row r="844">
      <c r="A844" s="66"/>
      <c r="B844" s="66"/>
      <c r="C844" s="66"/>
      <c r="D844" s="66"/>
      <c r="E844" s="66"/>
      <c r="F844" s="66"/>
      <c r="G844" s="66"/>
      <c r="H844" s="38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</row>
    <row r="845">
      <c r="A845" s="66"/>
      <c r="B845" s="66"/>
      <c r="C845" s="66"/>
      <c r="D845" s="66"/>
      <c r="E845" s="66"/>
      <c r="F845" s="66"/>
      <c r="G845" s="66"/>
      <c r="H845" s="38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</row>
    <row r="846">
      <c r="A846" s="66"/>
      <c r="B846" s="66"/>
      <c r="C846" s="66"/>
      <c r="D846" s="66"/>
      <c r="E846" s="66"/>
      <c r="F846" s="66"/>
      <c r="G846" s="66"/>
      <c r="H846" s="38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</row>
    <row r="847">
      <c r="A847" s="66"/>
      <c r="B847" s="66"/>
      <c r="C847" s="66"/>
      <c r="D847" s="66"/>
      <c r="E847" s="66"/>
      <c r="F847" s="66"/>
      <c r="G847" s="66"/>
      <c r="H847" s="38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</row>
    <row r="848">
      <c r="A848" s="66"/>
      <c r="B848" s="66"/>
      <c r="C848" s="66"/>
      <c r="D848" s="66"/>
      <c r="E848" s="66"/>
      <c r="F848" s="66"/>
      <c r="G848" s="66"/>
      <c r="H848" s="38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</row>
    <row r="849">
      <c r="A849" s="66"/>
      <c r="B849" s="66"/>
      <c r="C849" s="66"/>
      <c r="D849" s="66"/>
      <c r="E849" s="66"/>
      <c r="F849" s="66"/>
      <c r="G849" s="66"/>
      <c r="H849" s="38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</row>
    <row r="850">
      <c r="A850" s="66"/>
      <c r="B850" s="66"/>
      <c r="C850" s="66"/>
      <c r="D850" s="66"/>
      <c r="E850" s="66"/>
      <c r="F850" s="66"/>
      <c r="G850" s="66"/>
      <c r="H850" s="38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</row>
    <row r="851">
      <c r="A851" s="66"/>
      <c r="B851" s="66"/>
      <c r="C851" s="66"/>
      <c r="D851" s="66"/>
      <c r="E851" s="66"/>
      <c r="F851" s="66"/>
      <c r="G851" s="66"/>
      <c r="H851" s="38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</row>
    <row r="852">
      <c r="A852" s="66"/>
      <c r="B852" s="66"/>
      <c r="C852" s="66"/>
      <c r="D852" s="66"/>
      <c r="E852" s="66"/>
      <c r="F852" s="66"/>
      <c r="G852" s="66"/>
      <c r="H852" s="38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</row>
    <row r="853">
      <c r="A853" s="66"/>
      <c r="B853" s="66"/>
      <c r="C853" s="66"/>
      <c r="D853" s="66"/>
      <c r="E853" s="66"/>
      <c r="F853" s="66"/>
      <c r="G853" s="66"/>
      <c r="H853" s="38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</row>
    <row r="854">
      <c r="A854" s="66"/>
      <c r="B854" s="66"/>
      <c r="C854" s="66"/>
      <c r="D854" s="66"/>
      <c r="E854" s="66"/>
      <c r="F854" s="66"/>
      <c r="G854" s="66"/>
      <c r="H854" s="38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</row>
    <row r="855">
      <c r="A855" s="66"/>
      <c r="B855" s="66"/>
      <c r="C855" s="66"/>
      <c r="D855" s="66"/>
      <c r="E855" s="66"/>
      <c r="F855" s="66"/>
      <c r="G855" s="66"/>
      <c r="H855" s="38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</row>
    <row r="856">
      <c r="A856" s="66"/>
      <c r="B856" s="66"/>
      <c r="C856" s="66"/>
      <c r="D856" s="66"/>
      <c r="E856" s="66"/>
      <c r="F856" s="66"/>
      <c r="G856" s="66"/>
      <c r="H856" s="38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</row>
    <row r="857">
      <c r="A857" s="66"/>
      <c r="B857" s="66"/>
      <c r="C857" s="66"/>
      <c r="D857" s="66"/>
      <c r="E857" s="66"/>
      <c r="F857" s="66"/>
      <c r="G857" s="66"/>
      <c r="H857" s="38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</row>
    <row r="858">
      <c r="A858" s="66"/>
      <c r="B858" s="66"/>
      <c r="C858" s="66"/>
      <c r="D858" s="66"/>
      <c r="E858" s="66"/>
      <c r="F858" s="66"/>
      <c r="G858" s="66"/>
      <c r="H858" s="38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</row>
    <row r="859">
      <c r="A859" s="66"/>
      <c r="B859" s="66"/>
      <c r="C859" s="66"/>
      <c r="D859" s="66"/>
      <c r="E859" s="66"/>
      <c r="F859" s="66"/>
      <c r="G859" s="66"/>
      <c r="H859" s="38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</row>
    <row r="860">
      <c r="A860" s="66"/>
      <c r="B860" s="66"/>
      <c r="C860" s="66"/>
      <c r="D860" s="66"/>
      <c r="E860" s="66"/>
      <c r="F860" s="66"/>
      <c r="G860" s="66"/>
      <c r="H860" s="38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</row>
    <row r="861">
      <c r="A861" s="66"/>
      <c r="B861" s="66"/>
      <c r="C861" s="66"/>
      <c r="D861" s="66"/>
      <c r="E861" s="66"/>
      <c r="F861" s="66"/>
      <c r="G861" s="66"/>
      <c r="H861" s="38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</row>
    <row r="862">
      <c r="A862" s="66"/>
      <c r="B862" s="66"/>
      <c r="C862" s="66"/>
      <c r="D862" s="66"/>
      <c r="E862" s="66"/>
      <c r="F862" s="66"/>
      <c r="G862" s="66"/>
      <c r="H862" s="38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</row>
    <row r="863">
      <c r="A863" s="66"/>
      <c r="B863" s="66"/>
      <c r="C863" s="66"/>
      <c r="D863" s="66"/>
      <c r="E863" s="66"/>
      <c r="F863" s="66"/>
      <c r="G863" s="66"/>
      <c r="H863" s="38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</row>
    <row r="864">
      <c r="A864" s="66"/>
      <c r="B864" s="66"/>
      <c r="C864" s="66"/>
      <c r="D864" s="66"/>
      <c r="E864" s="66"/>
      <c r="F864" s="66"/>
      <c r="G864" s="66"/>
      <c r="H864" s="38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</row>
    <row r="865">
      <c r="A865" s="66"/>
      <c r="B865" s="66"/>
      <c r="C865" s="66"/>
      <c r="D865" s="66"/>
      <c r="E865" s="66"/>
      <c r="F865" s="66"/>
      <c r="G865" s="66"/>
      <c r="H865" s="38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</row>
    <row r="866">
      <c r="A866" s="66"/>
      <c r="B866" s="66"/>
      <c r="C866" s="66"/>
      <c r="D866" s="66"/>
      <c r="E866" s="66"/>
      <c r="F866" s="66"/>
      <c r="G866" s="66"/>
      <c r="H866" s="38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</row>
    <row r="867">
      <c r="A867" s="66"/>
      <c r="B867" s="66"/>
      <c r="C867" s="66"/>
      <c r="D867" s="66"/>
      <c r="E867" s="66"/>
      <c r="F867" s="66"/>
      <c r="G867" s="66"/>
      <c r="H867" s="38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</row>
    <row r="868">
      <c r="A868" s="66"/>
      <c r="B868" s="66"/>
      <c r="C868" s="66"/>
      <c r="D868" s="66"/>
      <c r="E868" s="66"/>
      <c r="F868" s="66"/>
      <c r="G868" s="66"/>
      <c r="H868" s="38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</row>
    <row r="869">
      <c r="A869" s="66"/>
      <c r="B869" s="66"/>
      <c r="C869" s="66"/>
      <c r="D869" s="66"/>
      <c r="E869" s="66"/>
      <c r="F869" s="66"/>
      <c r="G869" s="66"/>
      <c r="H869" s="38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</row>
    <row r="870">
      <c r="A870" s="66"/>
      <c r="B870" s="66"/>
      <c r="C870" s="66"/>
      <c r="D870" s="66"/>
      <c r="E870" s="66"/>
      <c r="F870" s="66"/>
      <c r="G870" s="66"/>
      <c r="H870" s="38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</row>
    <row r="871">
      <c r="A871" s="66"/>
      <c r="B871" s="66"/>
      <c r="C871" s="66"/>
      <c r="D871" s="66"/>
      <c r="E871" s="66"/>
      <c r="F871" s="66"/>
      <c r="G871" s="66"/>
      <c r="H871" s="38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</row>
    <row r="872">
      <c r="A872" s="66"/>
      <c r="B872" s="66"/>
      <c r="C872" s="66"/>
      <c r="D872" s="66"/>
      <c r="E872" s="66"/>
      <c r="F872" s="66"/>
      <c r="G872" s="66"/>
      <c r="H872" s="38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</row>
    <row r="873">
      <c r="A873" s="66"/>
      <c r="B873" s="66"/>
      <c r="C873" s="66"/>
      <c r="D873" s="66"/>
      <c r="E873" s="66"/>
      <c r="F873" s="66"/>
      <c r="G873" s="66"/>
      <c r="H873" s="38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</row>
    <row r="874">
      <c r="A874" s="66"/>
      <c r="B874" s="66"/>
      <c r="C874" s="66"/>
      <c r="D874" s="66"/>
      <c r="E874" s="66"/>
      <c r="F874" s="66"/>
      <c r="G874" s="66"/>
      <c r="H874" s="38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</row>
    <row r="875">
      <c r="A875" s="66"/>
      <c r="B875" s="66"/>
      <c r="C875" s="66"/>
      <c r="D875" s="66"/>
      <c r="E875" s="66"/>
      <c r="F875" s="66"/>
      <c r="G875" s="66"/>
      <c r="H875" s="38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</row>
    <row r="876">
      <c r="A876" s="66"/>
      <c r="B876" s="66"/>
      <c r="C876" s="66"/>
      <c r="D876" s="66"/>
      <c r="E876" s="66"/>
      <c r="F876" s="66"/>
      <c r="G876" s="66"/>
      <c r="H876" s="38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</row>
    <row r="877">
      <c r="A877" s="66"/>
      <c r="B877" s="66"/>
      <c r="C877" s="66"/>
      <c r="D877" s="66"/>
      <c r="E877" s="66"/>
      <c r="F877" s="66"/>
      <c r="G877" s="66"/>
      <c r="H877" s="38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</row>
    <row r="878">
      <c r="A878" s="66"/>
      <c r="B878" s="66"/>
      <c r="C878" s="66"/>
      <c r="D878" s="66"/>
      <c r="E878" s="66"/>
      <c r="F878" s="66"/>
      <c r="G878" s="66"/>
      <c r="H878" s="38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</row>
    <row r="879">
      <c r="A879" s="66"/>
      <c r="B879" s="66"/>
      <c r="C879" s="66"/>
      <c r="D879" s="66"/>
      <c r="E879" s="66"/>
      <c r="F879" s="66"/>
      <c r="G879" s="66"/>
      <c r="H879" s="38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</row>
    <row r="880">
      <c r="A880" s="66"/>
      <c r="B880" s="66"/>
      <c r="C880" s="66"/>
      <c r="D880" s="66"/>
      <c r="E880" s="66"/>
      <c r="F880" s="66"/>
      <c r="G880" s="66"/>
      <c r="H880" s="38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</row>
    <row r="881">
      <c r="A881" s="66"/>
      <c r="B881" s="66"/>
      <c r="C881" s="66"/>
      <c r="D881" s="66"/>
      <c r="E881" s="66"/>
      <c r="F881" s="66"/>
      <c r="G881" s="66"/>
      <c r="H881" s="38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</row>
    <row r="882">
      <c r="A882" s="66"/>
      <c r="B882" s="66"/>
      <c r="C882" s="66"/>
      <c r="D882" s="66"/>
      <c r="E882" s="66"/>
      <c r="F882" s="66"/>
      <c r="G882" s="66"/>
      <c r="H882" s="38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</row>
    <row r="883">
      <c r="A883" s="66"/>
      <c r="B883" s="66"/>
      <c r="C883" s="66"/>
      <c r="D883" s="66"/>
      <c r="E883" s="66"/>
      <c r="F883" s="66"/>
      <c r="G883" s="66"/>
      <c r="H883" s="38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</row>
    <row r="884">
      <c r="A884" s="66"/>
      <c r="B884" s="66"/>
      <c r="C884" s="66"/>
      <c r="D884" s="66"/>
      <c r="E884" s="66"/>
      <c r="F884" s="66"/>
      <c r="G884" s="66"/>
      <c r="H884" s="38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</row>
    <row r="885">
      <c r="A885" s="66"/>
      <c r="B885" s="66"/>
      <c r="C885" s="66"/>
      <c r="D885" s="66"/>
      <c r="E885" s="66"/>
      <c r="F885" s="66"/>
      <c r="G885" s="66"/>
      <c r="H885" s="38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</row>
    <row r="886">
      <c r="A886" s="66"/>
      <c r="B886" s="66"/>
      <c r="C886" s="66"/>
      <c r="D886" s="66"/>
      <c r="E886" s="66"/>
      <c r="F886" s="66"/>
      <c r="G886" s="66"/>
      <c r="H886" s="38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</row>
    <row r="887">
      <c r="A887" s="66"/>
      <c r="B887" s="66"/>
      <c r="C887" s="66"/>
      <c r="D887" s="66"/>
      <c r="E887" s="66"/>
      <c r="F887" s="66"/>
      <c r="G887" s="66"/>
      <c r="H887" s="38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</row>
    <row r="888">
      <c r="A888" s="66"/>
      <c r="B888" s="66"/>
      <c r="C888" s="66"/>
      <c r="D888" s="66"/>
      <c r="E888" s="66"/>
      <c r="F888" s="66"/>
      <c r="G888" s="66"/>
      <c r="H888" s="38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</row>
    <row r="889">
      <c r="A889" s="66"/>
      <c r="B889" s="66"/>
      <c r="C889" s="66"/>
      <c r="D889" s="66"/>
      <c r="E889" s="66"/>
      <c r="F889" s="66"/>
      <c r="G889" s="66"/>
      <c r="H889" s="38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</row>
    <row r="890">
      <c r="A890" s="66"/>
      <c r="B890" s="66"/>
      <c r="C890" s="66"/>
      <c r="D890" s="66"/>
      <c r="E890" s="66"/>
      <c r="F890" s="66"/>
      <c r="G890" s="66"/>
      <c r="H890" s="38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</row>
    <row r="891">
      <c r="A891" s="66"/>
      <c r="B891" s="66"/>
      <c r="C891" s="66"/>
      <c r="D891" s="66"/>
      <c r="E891" s="66"/>
      <c r="F891" s="66"/>
      <c r="G891" s="66"/>
      <c r="H891" s="38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</row>
    <row r="892">
      <c r="A892" s="66"/>
      <c r="B892" s="66"/>
      <c r="C892" s="66"/>
      <c r="D892" s="66"/>
      <c r="E892" s="66"/>
      <c r="F892" s="66"/>
      <c r="G892" s="66"/>
      <c r="H892" s="38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</row>
    <row r="893">
      <c r="A893" s="66"/>
      <c r="B893" s="66"/>
      <c r="C893" s="66"/>
      <c r="D893" s="66"/>
      <c r="E893" s="66"/>
      <c r="F893" s="66"/>
      <c r="G893" s="66"/>
      <c r="H893" s="38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</row>
    <row r="894">
      <c r="A894" s="66"/>
      <c r="B894" s="66"/>
      <c r="C894" s="66"/>
      <c r="D894" s="66"/>
      <c r="E894" s="66"/>
      <c r="F894" s="66"/>
      <c r="G894" s="66"/>
      <c r="H894" s="38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</row>
    <row r="895">
      <c r="A895" s="66"/>
      <c r="B895" s="66"/>
      <c r="C895" s="66"/>
      <c r="D895" s="66"/>
      <c r="E895" s="66"/>
      <c r="F895" s="66"/>
      <c r="G895" s="66"/>
      <c r="H895" s="38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</row>
    <row r="896">
      <c r="A896" s="66"/>
      <c r="B896" s="66"/>
      <c r="C896" s="66"/>
      <c r="D896" s="66"/>
      <c r="E896" s="66"/>
      <c r="F896" s="66"/>
      <c r="G896" s="66"/>
      <c r="H896" s="38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</row>
    <row r="897">
      <c r="A897" s="66"/>
      <c r="B897" s="66"/>
      <c r="C897" s="66"/>
      <c r="D897" s="66"/>
      <c r="E897" s="66"/>
      <c r="F897" s="66"/>
      <c r="G897" s="66"/>
      <c r="H897" s="38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</row>
    <row r="898">
      <c r="A898" s="66"/>
      <c r="B898" s="66"/>
      <c r="C898" s="66"/>
      <c r="D898" s="66"/>
      <c r="E898" s="66"/>
      <c r="F898" s="66"/>
      <c r="G898" s="66"/>
      <c r="H898" s="38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</row>
    <row r="899">
      <c r="A899" s="66"/>
      <c r="B899" s="66"/>
      <c r="C899" s="66"/>
      <c r="D899" s="66"/>
      <c r="E899" s="66"/>
      <c r="F899" s="66"/>
      <c r="G899" s="66"/>
      <c r="H899" s="38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</row>
    <row r="900">
      <c r="A900" s="66"/>
      <c r="B900" s="66"/>
      <c r="C900" s="66"/>
      <c r="D900" s="66"/>
      <c r="E900" s="66"/>
      <c r="F900" s="66"/>
      <c r="G900" s="66"/>
      <c r="H900" s="38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</row>
    <row r="901">
      <c r="A901" s="66"/>
      <c r="B901" s="66"/>
      <c r="C901" s="66"/>
      <c r="D901" s="66"/>
      <c r="E901" s="66"/>
      <c r="F901" s="66"/>
      <c r="G901" s="66"/>
      <c r="H901" s="38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</row>
    <row r="902">
      <c r="A902" s="66"/>
      <c r="B902" s="66"/>
      <c r="C902" s="66"/>
      <c r="D902" s="66"/>
      <c r="E902" s="66"/>
      <c r="F902" s="66"/>
      <c r="G902" s="66"/>
      <c r="H902" s="38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</row>
    <row r="903">
      <c r="A903" s="66"/>
      <c r="B903" s="66"/>
      <c r="C903" s="66"/>
      <c r="D903" s="66"/>
      <c r="E903" s="66"/>
      <c r="F903" s="66"/>
      <c r="G903" s="66"/>
      <c r="H903" s="38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</row>
    <row r="904">
      <c r="A904" s="66"/>
      <c r="B904" s="66"/>
      <c r="C904" s="66"/>
      <c r="D904" s="66"/>
      <c r="E904" s="66"/>
      <c r="F904" s="66"/>
      <c r="G904" s="66"/>
      <c r="H904" s="38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</row>
    <row r="905">
      <c r="A905" s="66"/>
      <c r="B905" s="66"/>
      <c r="C905" s="66"/>
      <c r="D905" s="66"/>
      <c r="E905" s="66"/>
      <c r="F905" s="66"/>
      <c r="G905" s="66"/>
      <c r="H905" s="38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</row>
    <row r="906">
      <c r="A906" s="66"/>
      <c r="B906" s="66"/>
      <c r="C906" s="66"/>
      <c r="D906" s="66"/>
      <c r="E906" s="66"/>
      <c r="F906" s="66"/>
      <c r="G906" s="66"/>
      <c r="H906" s="38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</row>
    <row r="907">
      <c r="A907" s="66"/>
      <c r="B907" s="66"/>
      <c r="C907" s="66"/>
      <c r="D907" s="66"/>
      <c r="E907" s="66"/>
      <c r="F907" s="66"/>
      <c r="G907" s="66"/>
      <c r="H907" s="38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</row>
    <row r="908">
      <c r="A908" s="66"/>
      <c r="B908" s="66"/>
      <c r="C908" s="66"/>
      <c r="D908" s="66"/>
      <c r="E908" s="66"/>
      <c r="F908" s="66"/>
      <c r="G908" s="66"/>
      <c r="H908" s="38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</row>
    <row r="909">
      <c r="A909" s="66"/>
      <c r="B909" s="66"/>
      <c r="C909" s="66"/>
      <c r="D909" s="66"/>
      <c r="E909" s="66"/>
      <c r="F909" s="66"/>
      <c r="G909" s="66"/>
      <c r="H909" s="38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</row>
    <row r="910">
      <c r="A910" s="66"/>
      <c r="B910" s="66"/>
      <c r="C910" s="66"/>
      <c r="D910" s="66"/>
      <c r="E910" s="66"/>
      <c r="F910" s="66"/>
      <c r="G910" s="66"/>
      <c r="H910" s="38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</row>
    <row r="911">
      <c r="A911" s="66"/>
      <c r="B911" s="66"/>
      <c r="C911" s="66"/>
      <c r="D911" s="66"/>
      <c r="E911" s="66"/>
      <c r="F911" s="66"/>
      <c r="G911" s="66"/>
      <c r="H911" s="38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</row>
    <row r="912">
      <c r="A912" s="66"/>
      <c r="B912" s="66"/>
      <c r="C912" s="66"/>
      <c r="D912" s="66"/>
      <c r="E912" s="66"/>
      <c r="F912" s="66"/>
      <c r="G912" s="66"/>
      <c r="H912" s="38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</row>
    <row r="913">
      <c r="A913" s="66"/>
      <c r="B913" s="66"/>
      <c r="C913" s="66"/>
      <c r="D913" s="66"/>
      <c r="E913" s="66"/>
      <c r="F913" s="66"/>
      <c r="G913" s="66"/>
      <c r="H913" s="38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</row>
    <row r="914">
      <c r="A914" s="66"/>
      <c r="B914" s="66"/>
      <c r="C914" s="66"/>
      <c r="D914" s="66"/>
      <c r="E914" s="66"/>
      <c r="F914" s="66"/>
      <c r="G914" s="66"/>
      <c r="H914" s="38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</row>
    <row r="915">
      <c r="A915" s="66"/>
      <c r="B915" s="66"/>
      <c r="C915" s="66"/>
      <c r="D915" s="66"/>
      <c r="E915" s="66"/>
      <c r="F915" s="66"/>
      <c r="G915" s="66"/>
      <c r="H915" s="38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</row>
    <row r="916">
      <c r="A916" s="66"/>
      <c r="B916" s="66"/>
      <c r="C916" s="66"/>
      <c r="D916" s="66"/>
      <c r="E916" s="66"/>
      <c r="F916" s="66"/>
      <c r="G916" s="66"/>
      <c r="H916" s="38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</row>
    <row r="917">
      <c r="A917" s="66"/>
      <c r="B917" s="66"/>
      <c r="C917" s="66"/>
      <c r="D917" s="66"/>
      <c r="E917" s="66"/>
      <c r="F917" s="66"/>
      <c r="G917" s="66"/>
      <c r="H917" s="38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</row>
    <row r="918">
      <c r="A918" s="66"/>
      <c r="B918" s="66"/>
      <c r="C918" s="66"/>
      <c r="D918" s="66"/>
      <c r="E918" s="66"/>
      <c r="F918" s="66"/>
      <c r="G918" s="66"/>
      <c r="H918" s="38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</row>
    <row r="919">
      <c r="A919" s="66"/>
      <c r="B919" s="66"/>
      <c r="C919" s="66"/>
      <c r="D919" s="66"/>
      <c r="E919" s="66"/>
      <c r="F919" s="66"/>
      <c r="G919" s="66"/>
      <c r="H919" s="38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</row>
    <row r="920">
      <c r="A920" s="66"/>
      <c r="B920" s="66"/>
      <c r="C920" s="66"/>
      <c r="D920" s="66"/>
      <c r="E920" s="66"/>
      <c r="F920" s="66"/>
      <c r="G920" s="66"/>
      <c r="H920" s="38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</row>
    <row r="921">
      <c r="A921" s="66"/>
      <c r="B921" s="66"/>
      <c r="C921" s="66"/>
      <c r="D921" s="66"/>
      <c r="E921" s="66"/>
      <c r="F921" s="66"/>
      <c r="G921" s="66"/>
      <c r="H921" s="38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</row>
    <row r="922">
      <c r="A922" s="66"/>
      <c r="B922" s="66"/>
      <c r="C922" s="66"/>
      <c r="D922" s="66"/>
      <c r="E922" s="66"/>
      <c r="F922" s="66"/>
      <c r="G922" s="66"/>
      <c r="H922" s="38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</row>
    <row r="923">
      <c r="A923" s="66"/>
      <c r="B923" s="66"/>
      <c r="C923" s="66"/>
      <c r="D923" s="66"/>
      <c r="E923" s="66"/>
      <c r="F923" s="66"/>
      <c r="G923" s="66"/>
      <c r="H923" s="38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</row>
    <row r="924">
      <c r="A924" s="66"/>
      <c r="B924" s="66"/>
      <c r="C924" s="66"/>
      <c r="D924" s="66"/>
      <c r="E924" s="66"/>
      <c r="F924" s="66"/>
      <c r="G924" s="66"/>
      <c r="H924" s="38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</row>
    <row r="925">
      <c r="A925" s="66"/>
      <c r="B925" s="66"/>
      <c r="C925" s="66"/>
      <c r="D925" s="66"/>
      <c r="E925" s="66"/>
      <c r="F925" s="66"/>
      <c r="G925" s="66"/>
      <c r="H925" s="38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</row>
    <row r="926">
      <c r="A926" s="66"/>
      <c r="B926" s="66"/>
      <c r="C926" s="66"/>
      <c r="D926" s="66"/>
      <c r="E926" s="66"/>
      <c r="F926" s="66"/>
      <c r="G926" s="66"/>
      <c r="H926" s="38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</row>
    <row r="927">
      <c r="A927" s="66"/>
      <c r="B927" s="66"/>
      <c r="C927" s="66"/>
      <c r="D927" s="66"/>
      <c r="E927" s="66"/>
      <c r="F927" s="66"/>
      <c r="G927" s="66"/>
      <c r="H927" s="38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</row>
    <row r="928">
      <c r="A928" s="66"/>
      <c r="B928" s="66"/>
      <c r="C928" s="66"/>
      <c r="D928" s="66"/>
      <c r="E928" s="66"/>
      <c r="F928" s="66"/>
      <c r="G928" s="66"/>
      <c r="H928" s="38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</row>
    <row r="929">
      <c r="A929" s="66"/>
      <c r="B929" s="66"/>
      <c r="C929" s="66"/>
      <c r="D929" s="66"/>
      <c r="E929" s="66"/>
      <c r="F929" s="66"/>
      <c r="G929" s="66"/>
      <c r="H929" s="38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</row>
    <row r="930">
      <c r="A930" s="66"/>
      <c r="B930" s="66"/>
      <c r="C930" s="66"/>
      <c r="D930" s="66"/>
      <c r="E930" s="66"/>
      <c r="F930" s="66"/>
      <c r="G930" s="66"/>
      <c r="H930" s="38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</row>
    <row r="931">
      <c r="A931" s="66"/>
      <c r="B931" s="66"/>
      <c r="C931" s="66"/>
      <c r="D931" s="66"/>
      <c r="E931" s="66"/>
      <c r="F931" s="66"/>
      <c r="G931" s="66"/>
      <c r="H931" s="38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</row>
    <row r="932">
      <c r="A932" s="66"/>
      <c r="B932" s="66"/>
      <c r="C932" s="66"/>
      <c r="D932" s="66"/>
      <c r="E932" s="66"/>
      <c r="F932" s="66"/>
      <c r="G932" s="66"/>
      <c r="H932" s="38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</row>
    <row r="933">
      <c r="A933" s="66"/>
      <c r="B933" s="66"/>
      <c r="C933" s="66"/>
      <c r="D933" s="66"/>
      <c r="E933" s="66"/>
      <c r="F933" s="66"/>
      <c r="G933" s="66"/>
      <c r="H933" s="38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</row>
    <row r="934">
      <c r="A934" s="66"/>
      <c r="B934" s="66"/>
      <c r="C934" s="66"/>
      <c r="D934" s="66"/>
      <c r="E934" s="66"/>
      <c r="F934" s="66"/>
      <c r="G934" s="66"/>
      <c r="H934" s="38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</row>
    <row r="935">
      <c r="A935" s="66"/>
      <c r="B935" s="66"/>
      <c r="C935" s="66"/>
      <c r="D935" s="66"/>
      <c r="E935" s="66"/>
      <c r="F935" s="66"/>
      <c r="G935" s="66"/>
      <c r="H935" s="38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</row>
    <row r="936">
      <c r="A936" s="66"/>
      <c r="B936" s="66"/>
      <c r="C936" s="66"/>
      <c r="D936" s="66"/>
      <c r="E936" s="66"/>
      <c r="F936" s="66"/>
      <c r="G936" s="66"/>
      <c r="H936" s="38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</row>
    <row r="937">
      <c r="A937" s="66"/>
      <c r="B937" s="66"/>
      <c r="C937" s="66"/>
      <c r="D937" s="66"/>
      <c r="E937" s="66"/>
      <c r="F937" s="66"/>
      <c r="G937" s="66"/>
      <c r="H937" s="38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</row>
    <row r="938">
      <c r="A938" s="66"/>
      <c r="B938" s="66"/>
      <c r="C938" s="66"/>
      <c r="D938" s="66"/>
      <c r="E938" s="66"/>
      <c r="F938" s="66"/>
      <c r="G938" s="66"/>
      <c r="H938" s="38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</row>
    <row r="939">
      <c r="A939" s="66"/>
      <c r="B939" s="66"/>
      <c r="C939" s="66"/>
      <c r="D939" s="66"/>
      <c r="E939" s="66"/>
      <c r="F939" s="66"/>
      <c r="G939" s="66"/>
      <c r="H939" s="38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</row>
    <row r="940">
      <c r="A940" s="66"/>
      <c r="B940" s="66"/>
      <c r="C940" s="66"/>
      <c r="D940" s="66"/>
      <c r="E940" s="66"/>
      <c r="F940" s="66"/>
      <c r="G940" s="66"/>
      <c r="H940" s="38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</row>
    <row r="941">
      <c r="A941" s="66"/>
      <c r="B941" s="66"/>
      <c r="C941" s="66"/>
      <c r="D941" s="66"/>
      <c r="E941" s="66"/>
      <c r="F941" s="66"/>
      <c r="G941" s="66"/>
      <c r="H941" s="38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</row>
    <row r="942">
      <c r="A942" s="66"/>
      <c r="B942" s="66"/>
      <c r="C942" s="66"/>
      <c r="D942" s="66"/>
      <c r="E942" s="66"/>
      <c r="F942" s="66"/>
      <c r="G942" s="66"/>
      <c r="H942" s="38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</row>
    <row r="943">
      <c r="A943" s="66"/>
      <c r="B943" s="66"/>
      <c r="C943" s="66"/>
      <c r="D943" s="66"/>
      <c r="E943" s="66"/>
      <c r="F943" s="66"/>
      <c r="G943" s="66"/>
      <c r="H943" s="38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</row>
    <row r="944">
      <c r="A944" s="66"/>
      <c r="B944" s="66"/>
      <c r="C944" s="66"/>
      <c r="D944" s="66"/>
      <c r="E944" s="66"/>
      <c r="F944" s="66"/>
      <c r="G944" s="66"/>
      <c r="H944" s="38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</row>
    <row r="945">
      <c r="A945" s="66"/>
      <c r="B945" s="66"/>
      <c r="C945" s="66"/>
      <c r="D945" s="66"/>
      <c r="E945" s="66"/>
      <c r="F945" s="66"/>
      <c r="G945" s="66"/>
      <c r="H945" s="38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</row>
    <row r="946">
      <c r="A946" s="66"/>
      <c r="B946" s="66"/>
      <c r="C946" s="66"/>
      <c r="D946" s="66"/>
      <c r="E946" s="66"/>
      <c r="F946" s="66"/>
      <c r="G946" s="66"/>
      <c r="H946" s="38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</row>
    <row r="947">
      <c r="A947" s="66"/>
      <c r="B947" s="66"/>
      <c r="C947" s="66"/>
      <c r="D947" s="66"/>
      <c r="E947" s="66"/>
      <c r="F947" s="66"/>
      <c r="G947" s="66"/>
      <c r="H947" s="38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</row>
    <row r="948">
      <c r="A948" s="66"/>
      <c r="B948" s="66"/>
      <c r="C948" s="66"/>
      <c r="D948" s="66"/>
      <c r="E948" s="66"/>
      <c r="F948" s="66"/>
      <c r="G948" s="66"/>
      <c r="H948" s="38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</row>
    <row r="949">
      <c r="A949" s="66"/>
      <c r="B949" s="66"/>
      <c r="C949" s="66"/>
      <c r="D949" s="66"/>
      <c r="E949" s="66"/>
      <c r="F949" s="66"/>
      <c r="G949" s="66"/>
      <c r="H949" s="38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</row>
    <row r="950">
      <c r="A950" s="66"/>
      <c r="B950" s="66"/>
      <c r="C950" s="66"/>
      <c r="D950" s="66"/>
      <c r="E950" s="66"/>
      <c r="F950" s="66"/>
      <c r="G950" s="66"/>
      <c r="H950" s="38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</row>
    <row r="951">
      <c r="A951" s="66"/>
      <c r="B951" s="66"/>
      <c r="C951" s="66"/>
      <c r="D951" s="66"/>
      <c r="E951" s="66"/>
      <c r="F951" s="66"/>
      <c r="G951" s="66"/>
      <c r="H951" s="38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</row>
    <row r="952">
      <c r="A952" s="66"/>
      <c r="B952" s="66"/>
      <c r="C952" s="66"/>
      <c r="D952" s="66"/>
      <c r="E952" s="66"/>
      <c r="F952" s="66"/>
      <c r="G952" s="66"/>
      <c r="H952" s="38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</row>
    <row r="953">
      <c r="A953" s="66"/>
      <c r="B953" s="66"/>
      <c r="C953" s="66"/>
      <c r="D953" s="66"/>
      <c r="E953" s="66"/>
      <c r="F953" s="66"/>
      <c r="G953" s="66"/>
      <c r="H953" s="38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</row>
    <row r="954">
      <c r="A954" s="66"/>
      <c r="B954" s="66"/>
      <c r="C954" s="66"/>
      <c r="D954" s="66"/>
      <c r="E954" s="66"/>
      <c r="F954" s="66"/>
      <c r="G954" s="66"/>
      <c r="H954" s="38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</row>
    <row r="955">
      <c r="A955" s="66"/>
      <c r="B955" s="66"/>
      <c r="C955" s="66"/>
      <c r="D955" s="66"/>
      <c r="E955" s="66"/>
      <c r="F955" s="66"/>
      <c r="G955" s="66"/>
      <c r="H955" s="38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</row>
    <row r="956">
      <c r="A956" s="66"/>
      <c r="B956" s="66"/>
      <c r="C956" s="66"/>
      <c r="D956" s="66"/>
      <c r="E956" s="66"/>
      <c r="F956" s="66"/>
      <c r="G956" s="66"/>
      <c r="H956" s="38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</row>
    <row r="957">
      <c r="A957" s="66"/>
      <c r="B957" s="66"/>
      <c r="C957" s="66"/>
      <c r="D957" s="66"/>
      <c r="E957" s="66"/>
      <c r="F957" s="66"/>
      <c r="G957" s="66"/>
      <c r="H957" s="38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</row>
    <row r="958">
      <c r="A958" s="66"/>
      <c r="B958" s="66"/>
      <c r="C958" s="66"/>
      <c r="D958" s="66"/>
      <c r="E958" s="66"/>
      <c r="F958" s="66"/>
      <c r="G958" s="66"/>
      <c r="H958" s="38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</row>
    <row r="959">
      <c r="A959" s="66"/>
      <c r="B959" s="66"/>
      <c r="C959" s="66"/>
      <c r="D959" s="66"/>
      <c r="E959" s="66"/>
      <c r="F959" s="66"/>
      <c r="G959" s="66"/>
      <c r="H959" s="38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</row>
    <row r="960">
      <c r="A960" s="66"/>
      <c r="B960" s="66"/>
      <c r="C960" s="66"/>
      <c r="D960" s="66"/>
      <c r="E960" s="66"/>
      <c r="F960" s="66"/>
      <c r="G960" s="66"/>
      <c r="H960" s="38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</row>
    <row r="961">
      <c r="A961" s="66"/>
      <c r="B961" s="66"/>
      <c r="C961" s="66"/>
      <c r="D961" s="66"/>
      <c r="E961" s="66"/>
      <c r="F961" s="66"/>
      <c r="G961" s="66"/>
      <c r="H961" s="38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</row>
    <row r="962">
      <c r="A962" s="66"/>
      <c r="B962" s="66"/>
      <c r="C962" s="66"/>
      <c r="D962" s="66"/>
      <c r="E962" s="66"/>
      <c r="F962" s="66"/>
      <c r="G962" s="66"/>
      <c r="H962" s="38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</row>
    <row r="963">
      <c r="A963" s="66"/>
      <c r="B963" s="66"/>
      <c r="C963" s="66"/>
      <c r="D963" s="66"/>
      <c r="E963" s="66"/>
      <c r="F963" s="66"/>
      <c r="G963" s="66"/>
      <c r="H963" s="38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</row>
    <row r="964">
      <c r="A964" s="66"/>
      <c r="B964" s="66"/>
      <c r="C964" s="66"/>
      <c r="D964" s="66"/>
      <c r="E964" s="66"/>
      <c r="F964" s="66"/>
      <c r="G964" s="66"/>
      <c r="H964" s="38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</row>
    <row r="965">
      <c r="A965" s="66"/>
      <c r="B965" s="66"/>
      <c r="C965" s="66"/>
      <c r="D965" s="66"/>
      <c r="E965" s="66"/>
      <c r="F965" s="66"/>
      <c r="G965" s="66"/>
      <c r="H965" s="38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</row>
    <row r="966">
      <c r="A966" s="66"/>
      <c r="B966" s="66"/>
      <c r="C966" s="66"/>
      <c r="D966" s="66"/>
      <c r="E966" s="66"/>
      <c r="F966" s="66"/>
      <c r="G966" s="66"/>
      <c r="H966" s="38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</row>
    <row r="967">
      <c r="A967" s="66"/>
      <c r="B967" s="66"/>
      <c r="C967" s="66"/>
      <c r="D967" s="66"/>
      <c r="E967" s="66"/>
      <c r="F967" s="66"/>
      <c r="G967" s="66"/>
      <c r="H967" s="38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</row>
    <row r="968">
      <c r="A968" s="66"/>
      <c r="B968" s="66"/>
      <c r="C968" s="66"/>
      <c r="D968" s="66"/>
      <c r="E968" s="66"/>
      <c r="F968" s="66"/>
      <c r="G968" s="66"/>
      <c r="H968" s="38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</row>
    <row r="969">
      <c r="A969" s="66"/>
      <c r="B969" s="66"/>
      <c r="C969" s="66"/>
      <c r="D969" s="66"/>
      <c r="E969" s="66"/>
      <c r="F969" s="66"/>
      <c r="G969" s="66"/>
      <c r="H969" s="38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</row>
    <row r="970">
      <c r="A970" s="66"/>
      <c r="B970" s="66"/>
      <c r="C970" s="66"/>
      <c r="D970" s="66"/>
      <c r="E970" s="66"/>
      <c r="F970" s="66"/>
      <c r="G970" s="66"/>
      <c r="H970" s="38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</row>
    <row r="971">
      <c r="A971" s="66"/>
      <c r="B971" s="66"/>
      <c r="C971" s="66"/>
      <c r="D971" s="66"/>
      <c r="E971" s="66"/>
      <c r="F971" s="66"/>
      <c r="G971" s="66"/>
      <c r="H971" s="38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</row>
    <row r="972">
      <c r="A972" s="66"/>
      <c r="B972" s="66"/>
      <c r="C972" s="66"/>
      <c r="D972" s="66"/>
      <c r="E972" s="66"/>
      <c r="F972" s="66"/>
      <c r="G972" s="66"/>
      <c r="H972" s="38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</row>
    <row r="973">
      <c r="A973" s="66"/>
      <c r="B973" s="66"/>
      <c r="C973" s="66"/>
      <c r="D973" s="66"/>
      <c r="E973" s="66"/>
      <c r="F973" s="66"/>
      <c r="G973" s="66"/>
      <c r="H973" s="38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</row>
    <row r="974">
      <c r="A974" s="66"/>
      <c r="B974" s="66"/>
      <c r="C974" s="66"/>
      <c r="D974" s="66"/>
      <c r="E974" s="66"/>
      <c r="F974" s="66"/>
      <c r="G974" s="66"/>
      <c r="H974" s="38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</row>
    <row r="975">
      <c r="A975" s="66"/>
      <c r="B975" s="66"/>
      <c r="C975" s="66"/>
      <c r="D975" s="66"/>
      <c r="E975" s="66"/>
      <c r="F975" s="66"/>
      <c r="G975" s="66"/>
      <c r="H975" s="38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</row>
    <row r="976">
      <c r="A976" s="66"/>
      <c r="B976" s="66"/>
      <c r="C976" s="66"/>
      <c r="D976" s="66"/>
      <c r="E976" s="66"/>
      <c r="F976" s="66"/>
      <c r="G976" s="66"/>
      <c r="H976" s="38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</row>
    <row r="977">
      <c r="A977" s="66"/>
      <c r="B977" s="66"/>
      <c r="C977" s="66"/>
      <c r="D977" s="66"/>
      <c r="E977" s="66"/>
      <c r="F977" s="66"/>
      <c r="G977" s="66"/>
      <c r="H977" s="38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</row>
    <row r="978">
      <c r="A978" s="66"/>
      <c r="B978" s="66"/>
      <c r="C978" s="66"/>
      <c r="D978" s="66"/>
      <c r="E978" s="66"/>
      <c r="F978" s="66"/>
      <c r="G978" s="66"/>
      <c r="H978" s="38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</row>
    <row r="979">
      <c r="A979" s="66"/>
      <c r="B979" s="66"/>
      <c r="C979" s="66"/>
      <c r="D979" s="66"/>
      <c r="E979" s="66"/>
      <c r="F979" s="66"/>
      <c r="G979" s="66"/>
      <c r="H979" s="38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</row>
    <row r="980">
      <c r="A980" s="66"/>
      <c r="B980" s="66"/>
      <c r="C980" s="66"/>
      <c r="D980" s="66"/>
      <c r="E980" s="66"/>
      <c r="F980" s="66"/>
      <c r="G980" s="66"/>
      <c r="H980" s="38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</row>
    <row r="981">
      <c r="A981" s="66"/>
      <c r="B981" s="66"/>
      <c r="C981" s="66"/>
      <c r="D981" s="66"/>
      <c r="E981" s="66"/>
      <c r="F981" s="66"/>
      <c r="G981" s="66"/>
      <c r="H981" s="38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</row>
    <row r="982">
      <c r="A982" s="66"/>
      <c r="B982" s="66"/>
      <c r="C982" s="66"/>
      <c r="D982" s="66"/>
      <c r="E982" s="66"/>
      <c r="F982" s="66"/>
      <c r="G982" s="66"/>
      <c r="H982" s="38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</row>
    <row r="983">
      <c r="A983" s="66"/>
      <c r="B983" s="66"/>
      <c r="C983" s="66"/>
      <c r="D983" s="66"/>
      <c r="E983" s="66"/>
      <c r="F983" s="66"/>
      <c r="G983" s="66"/>
      <c r="H983" s="38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</row>
    <row r="984">
      <c r="A984" s="66"/>
      <c r="B984" s="66"/>
      <c r="C984" s="66"/>
      <c r="D984" s="66"/>
      <c r="E984" s="66"/>
      <c r="F984" s="66"/>
      <c r="G984" s="66"/>
      <c r="H984" s="38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</row>
    <row r="985">
      <c r="A985" s="66"/>
      <c r="B985" s="66"/>
      <c r="C985" s="66"/>
      <c r="D985" s="66"/>
      <c r="E985" s="66"/>
      <c r="F985" s="66"/>
      <c r="G985" s="66"/>
      <c r="H985" s="38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</row>
    <row r="986">
      <c r="A986" s="66"/>
      <c r="B986" s="66"/>
      <c r="C986" s="66"/>
      <c r="D986" s="66"/>
      <c r="E986" s="66"/>
      <c r="F986" s="66"/>
      <c r="G986" s="66"/>
      <c r="H986" s="38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</row>
    <row r="987">
      <c r="A987" s="66"/>
      <c r="B987" s="66"/>
      <c r="C987" s="66"/>
      <c r="D987" s="66"/>
      <c r="E987" s="66"/>
      <c r="F987" s="66"/>
      <c r="G987" s="66"/>
      <c r="H987" s="38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</row>
    <row r="988">
      <c r="A988" s="66"/>
      <c r="B988" s="66"/>
      <c r="C988" s="66"/>
      <c r="D988" s="66"/>
      <c r="E988" s="66"/>
      <c r="F988" s="66"/>
      <c r="G988" s="66"/>
      <c r="H988" s="38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</row>
    <row r="989">
      <c r="A989" s="66"/>
      <c r="B989" s="66"/>
      <c r="C989" s="66"/>
      <c r="D989" s="66"/>
      <c r="E989" s="66"/>
      <c r="F989" s="66"/>
      <c r="G989" s="66"/>
      <c r="H989" s="38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</row>
    <row r="990">
      <c r="A990" s="66"/>
      <c r="B990" s="66"/>
      <c r="C990" s="66"/>
      <c r="D990" s="66"/>
      <c r="E990" s="66"/>
      <c r="F990" s="66"/>
      <c r="G990" s="66"/>
      <c r="H990" s="38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</row>
    <row r="991">
      <c r="A991" s="66"/>
      <c r="B991" s="66"/>
      <c r="C991" s="66"/>
      <c r="D991" s="66"/>
      <c r="E991" s="66"/>
      <c r="F991" s="66"/>
      <c r="G991" s="66"/>
      <c r="H991" s="38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</row>
    <row r="992">
      <c r="A992" s="66"/>
      <c r="B992" s="66"/>
      <c r="C992" s="66"/>
      <c r="D992" s="66"/>
      <c r="E992" s="66"/>
      <c r="F992" s="66"/>
      <c r="G992" s="66"/>
      <c r="H992" s="38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</row>
    <row r="993">
      <c r="A993" s="66"/>
      <c r="B993" s="66"/>
      <c r="C993" s="66"/>
      <c r="D993" s="66"/>
      <c r="E993" s="66"/>
      <c r="F993" s="66"/>
      <c r="G993" s="66"/>
      <c r="H993" s="38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</row>
    <row r="994">
      <c r="A994" s="66"/>
      <c r="B994" s="66"/>
      <c r="C994" s="66"/>
      <c r="D994" s="66"/>
      <c r="E994" s="66"/>
      <c r="F994" s="66"/>
      <c r="G994" s="66"/>
      <c r="H994" s="38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</row>
    <row r="995">
      <c r="A995" s="66"/>
      <c r="B995" s="66"/>
      <c r="C995" s="66"/>
      <c r="D995" s="66"/>
      <c r="E995" s="66"/>
      <c r="F995" s="66"/>
      <c r="G995" s="66"/>
      <c r="H995" s="38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</row>
    <row r="996">
      <c r="A996" s="66"/>
      <c r="B996" s="66"/>
      <c r="C996" s="66"/>
      <c r="D996" s="66"/>
      <c r="E996" s="66"/>
      <c r="F996" s="66"/>
      <c r="G996" s="66"/>
      <c r="H996" s="38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</row>
    <row r="997">
      <c r="A997" s="66"/>
      <c r="B997" s="66"/>
      <c r="C997" s="66"/>
      <c r="D997" s="66"/>
      <c r="E997" s="66"/>
      <c r="F997" s="66"/>
      <c r="G997" s="66"/>
      <c r="H997" s="38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</row>
    <row r="998">
      <c r="A998" s="66"/>
      <c r="B998" s="66"/>
      <c r="C998" s="66"/>
      <c r="D998" s="66"/>
      <c r="E998" s="66"/>
      <c r="F998" s="66"/>
      <c r="G998" s="66"/>
      <c r="H998" s="38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</row>
    <row r="999">
      <c r="A999" s="66"/>
      <c r="B999" s="66"/>
      <c r="C999" s="66"/>
      <c r="D999" s="66"/>
      <c r="E999" s="66"/>
      <c r="F999" s="66"/>
      <c r="G999" s="66"/>
      <c r="H999" s="38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</row>
    <row r="1000">
      <c r="A1000" s="66"/>
      <c r="B1000" s="66"/>
      <c r="C1000" s="66"/>
      <c r="D1000" s="66"/>
      <c r="E1000" s="66"/>
      <c r="F1000" s="66"/>
      <c r="G1000" s="66"/>
      <c r="H1000" s="38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</row>
    <row r="1001">
      <c r="A1001" s="66"/>
      <c r="B1001" s="66"/>
      <c r="C1001" s="66"/>
      <c r="D1001" s="66"/>
      <c r="E1001" s="66"/>
      <c r="F1001" s="66"/>
      <c r="G1001" s="66"/>
      <c r="H1001" s="38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  <c r="AD1001" s="66"/>
    </row>
    <row r="1002">
      <c r="A1002" s="66"/>
      <c r="B1002" s="66"/>
      <c r="C1002" s="66"/>
      <c r="D1002" s="66"/>
      <c r="E1002" s="66"/>
      <c r="F1002" s="66"/>
      <c r="G1002" s="66"/>
      <c r="H1002" s="38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  <c r="AD1002" s="66"/>
    </row>
    <row r="1003">
      <c r="A1003" s="66"/>
      <c r="B1003" s="66"/>
      <c r="C1003" s="66"/>
      <c r="D1003" s="66"/>
      <c r="E1003" s="66"/>
      <c r="F1003" s="66"/>
      <c r="G1003" s="66"/>
      <c r="H1003" s="38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  <c r="AD1003" s="66"/>
    </row>
    <row r="1004">
      <c r="A1004" s="66"/>
      <c r="B1004" s="66"/>
      <c r="C1004" s="66"/>
      <c r="D1004" s="66"/>
      <c r="E1004" s="66"/>
      <c r="F1004" s="66"/>
      <c r="G1004" s="66"/>
      <c r="H1004" s="38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  <c r="AA1004" s="66"/>
      <c r="AB1004" s="66"/>
      <c r="AC1004" s="66"/>
      <c r="AD1004" s="66"/>
    </row>
    <row r="1005">
      <c r="A1005" s="66"/>
      <c r="B1005" s="66"/>
      <c r="C1005" s="66"/>
      <c r="D1005" s="66"/>
      <c r="E1005" s="66"/>
      <c r="F1005" s="66"/>
      <c r="G1005" s="66"/>
      <c r="H1005" s="38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  <c r="AA1005" s="66"/>
      <c r="AB1005" s="66"/>
      <c r="AC1005" s="66"/>
      <c r="AD1005" s="66"/>
    </row>
    <row r="1006">
      <c r="A1006" s="66"/>
      <c r="B1006" s="66"/>
      <c r="C1006" s="66"/>
      <c r="D1006" s="66"/>
      <c r="E1006" s="66"/>
      <c r="F1006" s="66"/>
      <c r="G1006" s="66"/>
      <c r="H1006" s="38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  <c r="AA1006" s="66"/>
      <c r="AB1006" s="66"/>
      <c r="AC1006" s="66"/>
      <c r="AD1006" s="66"/>
    </row>
    <row r="1007">
      <c r="A1007" s="66"/>
      <c r="B1007" s="66"/>
      <c r="C1007" s="66"/>
      <c r="D1007" s="66"/>
      <c r="E1007" s="66"/>
      <c r="F1007" s="66"/>
      <c r="G1007" s="66"/>
      <c r="H1007" s="38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  <c r="X1007" s="66"/>
      <c r="Y1007" s="66"/>
      <c r="Z1007" s="66"/>
      <c r="AA1007" s="66"/>
      <c r="AB1007" s="66"/>
      <c r="AC1007" s="66"/>
      <c r="AD1007" s="66"/>
    </row>
    <row r="1008">
      <c r="A1008" s="66"/>
      <c r="B1008" s="66"/>
      <c r="C1008" s="66"/>
      <c r="D1008" s="66"/>
      <c r="E1008" s="66"/>
      <c r="F1008" s="66"/>
      <c r="G1008" s="66"/>
      <c r="H1008" s="38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  <c r="X1008" s="66"/>
      <c r="Y1008" s="66"/>
      <c r="Z1008" s="66"/>
      <c r="AA1008" s="66"/>
      <c r="AB1008" s="66"/>
      <c r="AC1008" s="66"/>
      <c r="AD1008" s="66"/>
    </row>
    <row r="1009">
      <c r="A1009" s="66"/>
      <c r="B1009" s="66"/>
      <c r="C1009" s="66"/>
      <c r="D1009" s="66"/>
      <c r="E1009" s="66"/>
      <c r="F1009" s="66"/>
      <c r="G1009" s="66"/>
      <c r="H1009" s="38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  <c r="X1009" s="66"/>
      <c r="Y1009" s="66"/>
      <c r="Z1009" s="66"/>
      <c r="AA1009" s="66"/>
      <c r="AB1009" s="66"/>
      <c r="AC1009" s="66"/>
      <c r="AD1009" s="66"/>
    </row>
    <row r="1010">
      <c r="A1010" s="66"/>
      <c r="B1010" s="66"/>
      <c r="C1010" s="66"/>
      <c r="D1010" s="66"/>
      <c r="E1010" s="66"/>
      <c r="F1010" s="66"/>
      <c r="G1010" s="66"/>
      <c r="H1010" s="38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  <c r="X1010" s="66"/>
      <c r="Y1010" s="66"/>
      <c r="Z1010" s="66"/>
      <c r="AA1010" s="66"/>
      <c r="AB1010" s="66"/>
      <c r="AC1010" s="66"/>
      <c r="AD1010" s="66"/>
    </row>
    <row r="1011">
      <c r="A1011" s="66"/>
      <c r="B1011" s="66"/>
      <c r="C1011" s="66"/>
      <c r="D1011" s="66"/>
      <c r="E1011" s="66"/>
      <c r="F1011" s="66"/>
      <c r="G1011" s="66"/>
      <c r="H1011" s="38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  <c r="X1011" s="66"/>
      <c r="Y1011" s="66"/>
      <c r="Z1011" s="66"/>
      <c r="AA1011" s="66"/>
      <c r="AB1011" s="66"/>
      <c r="AC1011" s="66"/>
      <c r="AD1011" s="66"/>
    </row>
    <row r="1012">
      <c r="A1012" s="66"/>
      <c r="B1012" s="66"/>
      <c r="C1012" s="66"/>
      <c r="D1012" s="66"/>
      <c r="E1012" s="66"/>
      <c r="F1012" s="66"/>
      <c r="G1012" s="66"/>
      <c r="H1012" s="38"/>
      <c r="I1012" s="66"/>
      <c r="J1012" s="66"/>
      <c r="K1012" s="66"/>
      <c r="L1012" s="66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66"/>
      <c r="Y1012" s="66"/>
      <c r="Z1012" s="66"/>
      <c r="AA1012" s="66"/>
      <c r="AB1012" s="66"/>
      <c r="AC1012" s="66"/>
      <c r="AD1012" s="66"/>
    </row>
    <row r="1013">
      <c r="A1013" s="66"/>
      <c r="B1013" s="66"/>
      <c r="C1013" s="66"/>
      <c r="D1013" s="66"/>
      <c r="E1013" s="66"/>
      <c r="F1013" s="66"/>
      <c r="G1013" s="66"/>
      <c r="H1013" s="38"/>
      <c r="I1013" s="66"/>
      <c r="J1013" s="66"/>
      <c r="K1013" s="66"/>
      <c r="L1013" s="66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  <c r="X1013" s="66"/>
      <c r="Y1013" s="66"/>
      <c r="Z1013" s="66"/>
      <c r="AA1013" s="66"/>
      <c r="AB1013" s="66"/>
      <c r="AC1013" s="66"/>
      <c r="AD1013" s="66"/>
    </row>
    <row r="1014">
      <c r="A1014" s="66"/>
      <c r="B1014" s="66"/>
      <c r="C1014" s="66"/>
      <c r="D1014" s="66"/>
      <c r="E1014" s="66"/>
      <c r="F1014" s="66"/>
      <c r="G1014" s="66"/>
      <c r="H1014" s="38"/>
      <c r="I1014" s="66"/>
      <c r="J1014" s="66"/>
      <c r="K1014" s="66"/>
      <c r="L1014" s="66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  <c r="X1014" s="66"/>
      <c r="Y1014" s="66"/>
      <c r="Z1014" s="66"/>
      <c r="AA1014" s="66"/>
      <c r="AB1014" s="66"/>
      <c r="AC1014" s="66"/>
      <c r="AD1014" s="66"/>
    </row>
    <row r="1015">
      <c r="A1015" s="66"/>
      <c r="B1015" s="66"/>
      <c r="C1015" s="66"/>
      <c r="D1015" s="66"/>
      <c r="E1015" s="66"/>
      <c r="F1015" s="66"/>
      <c r="G1015" s="66"/>
      <c r="H1015" s="38"/>
      <c r="I1015" s="66"/>
      <c r="J1015" s="66"/>
      <c r="K1015" s="66"/>
      <c r="L1015" s="66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  <c r="X1015" s="66"/>
      <c r="Y1015" s="66"/>
      <c r="Z1015" s="66"/>
      <c r="AA1015" s="66"/>
      <c r="AB1015" s="66"/>
      <c r="AC1015" s="66"/>
      <c r="AD1015" s="66"/>
    </row>
    <row r="1016">
      <c r="A1016" s="66"/>
      <c r="B1016" s="66"/>
      <c r="C1016" s="66"/>
      <c r="D1016" s="66"/>
      <c r="E1016" s="66"/>
      <c r="F1016" s="66"/>
      <c r="G1016" s="66"/>
      <c r="H1016" s="38"/>
      <c r="I1016" s="66"/>
      <c r="J1016" s="66"/>
      <c r="K1016" s="66"/>
      <c r="L1016" s="66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  <c r="X1016" s="66"/>
      <c r="Y1016" s="66"/>
      <c r="Z1016" s="66"/>
      <c r="AA1016" s="66"/>
      <c r="AB1016" s="66"/>
      <c r="AC1016" s="66"/>
      <c r="AD1016" s="66"/>
    </row>
    <row r="1017">
      <c r="A1017" s="66"/>
      <c r="B1017" s="66"/>
      <c r="C1017" s="66"/>
      <c r="D1017" s="66"/>
      <c r="E1017" s="66"/>
      <c r="F1017" s="66"/>
      <c r="G1017" s="66"/>
      <c r="H1017" s="38"/>
      <c r="I1017" s="66"/>
      <c r="J1017" s="66"/>
      <c r="K1017" s="66"/>
      <c r="L1017" s="66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  <c r="X1017" s="66"/>
      <c r="Y1017" s="66"/>
      <c r="Z1017" s="66"/>
      <c r="AA1017" s="66"/>
      <c r="AB1017" s="66"/>
      <c r="AC1017" s="66"/>
      <c r="AD1017" s="66"/>
    </row>
    <row r="1018">
      <c r="A1018" s="66"/>
      <c r="B1018" s="66"/>
      <c r="C1018" s="66"/>
      <c r="D1018" s="66"/>
      <c r="E1018" s="66"/>
      <c r="F1018" s="66"/>
      <c r="G1018" s="66"/>
      <c r="H1018" s="38"/>
      <c r="I1018" s="66"/>
      <c r="J1018" s="66"/>
      <c r="K1018" s="66"/>
      <c r="L1018" s="66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  <c r="X1018" s="66"/>
      <c r="Y1018" s="66"/>
      <c r="Z1018" s="66"/>
      <c r="AA1018" s="66"/>
      <c r="AB1018" s="66"/>
      <c r="AC1018" s="66"/>
      <c r="AD1018" s="66"/>
    </row>
    <row r="1019">
      <c r="A1019" s="66"/>
      <c r="B1019" s="66"/>
      <c r="C1019" s="66"/>
      <c r="D1019" s="66"/>
      <c r="E1019" s="66"/>
      <c r="F1019" s="66"/>
      <c r="G1019" s="66"/>
      <c r="H1019" s="38"/>
      <c r="I1019" s="66"/>
      <c r="J1019" s="66"/>
      <c r="K1019" s="66"/>
      <c r="L1019" s="66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  <c r="X1019" s="66"/>
      <c r="Y1019" s="66"/>
      <c r="Z1019" s="66"/>
      <c r="AA1019" s="66"/>
      <c r="AB1019" s="66"/>
      <c r="AC1019" s="66"/>
      <c r="AD1019" s="66"/>
    </row>
    <row r="1020">
      <c r="A1020" s="66"/>
      <c r="B1020" s="66"/>
      <c r="C1020" s="66"/>
      <c r="D1020" s="66"/>
      <c r="E1020" s="66"/>
      <c r="F1020" s="66"/>
      <c r="G1020" s="66"/>
      <c r="H1020" s="38"/>
      <c r="I1020" s="66"/>
      <c r="J1020" s="66"/>
      <c r="K1020" s="66"/>
      <c r="L1020" s="66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  <c r="X1020" s="66"/>
      <c r="Y1020" s="66"/>
      <c r="Z1020" s="66"/>
      <c r="AA1020" s="66"/>
      <c r="AB1020" s="66"/>
      <c r="AC1020" s="66"/>
      <c r="AD1020" s="66"/>
    </row>
    <row r="1021">
      <c r="A1021" s="66"/>
      <c r="B1021" s="66"/>
      <c r="C1021" s="66"/>
      <c r="D1021" s="66"/>
      <c r="E1021" s="66"/>
      <c r="F1021" s="66"/>
      <c r="G1021" s="66"/>
      <c r="H1021" s="38"/>
      <c r="I1021" s="66"/>
      <c r="J1021" s="66"/>
      <c r="K1021" s="66"/>
      <c r="L1021" s="66"/>
      <c r="M1021" s="66"/>
      <c r="N1021" s="66"/>
      <c r="O1021" s="66"/>
      <c r="P1021" s="66"/>
      <c r="Q1021" s="66"/>
      <c r="R1021" s="66"/>
      <c r="S1021" s="66"/>
      <c r="T1021" s="66"/>
      <c r="U1021" s="66"/>
      <c r="V1021" s="66"/>
      <c r="W1021" s="66"/>
      <c r="X1021" s="66"/>
      <c r="Y1021" s="66"/>
      <c r="Z1021" s="66"/>
      <c r="AA1021" s="66"/>
      <c r="AB1021" s="66"/>
      <c r="AC1021" s="66"/>
      <c r="AD1021" s="66"/>
    </row>
    <row r="1022">
      <c r="A1022" s="66"/>
      <c r="B1022" s="66"/>
      <c r="C1022" s="66"/>
      <c r="D1022" s="66"/>
      <c r="E1022" s="66"/>
      <c r="F1022" s="66"/>
      <c r="G1022" s="66"/>
      <c r="H1022" s="38"/>
      <c r="I1022" s="66"/>
      <c r="J1022" s="66"/>
      <c r="K1022" s="66"/>
      <c r="L1022" s="66"/>
      <c r="M1022" s="66"/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  <c r="X1022" s="66"/>
      <c r="Y1022" s="66"/>
      <c r="Z1022" s="66"/>
      <c r="AA1022" s="66"/>
      <c r="AB1022" s="66"/>
      <c r="AC1022" s="66"/>
      <c r="AD1022" s="66"/>
    </row>
    <row r="1023">
      <c r="A1023" s="66"/>
      <c r="B1023" s="66"/>
      <c r="C1023" s="66"/>
      <c r="D1023" s="66"/>
      <c r="E1023" s="66"/>
      <c r="F1023" s="66"/>
      <c r="G1023" s="66"/>
      <c r="H1023" s="38"/>
      <c r="I1023" s="66"/>
      <c r="J1023" s="66"/>
      <c r="K1023" s="66"/>
      <c r="L1023" s="66"/>
      <c r="M1023" s="66"/>
      <c r="N1023" s="66"/>
      <c r="O1023" s="66"/>
      <c r="P1023" s="66"/>
      <c r="Q1023" s="66"/>
      <c r="R1023" s="66"/>
      <c r="S1023" s="66"/>
      <c r="T1023" s="66"/>
      <c r="U1023" s="66"/>
      <c r="V1023" s="66"/>
      <c r="W1023" s="66"/>
      <c r="X1023" s="66"/>
      <c r="Y1023" s="66"/>
      <c r="Z1023" s="66"/>
      <c r="AA1023" s="66"/>
      <c r="AB1023" s="66"/>
      <c r="AC1023" s="66"/>
      <c r="AD1023" s="66"/>
    </row>
    <row r="1024">
      <c r="A1024" s="66"/>
      <c r="B1024" s="66"/>
      <c r="C1024" s="66"/>
      <c r="D1024" s="66"/>
      <c r="E1024" s="66"/>
      <c r="F1024" s="66"/>
      <c r="G1024" s="66"/>
      <c r="H1024" s="38"/>
      <c r="I1024" s="66"/>
      <c r="J1024" s="66"/>
      <c r="K1024" s="66"/>
      <c r="L1024" s="66"/>
      <c r="M1024" s="66"/>
      <c r="N1024" s="66"/>
      <c r="O1024" s="66"/>
      <c r="P1024" s="66"/>
      <c r="Q1024" s="66"/>
      <c r="R1024" s="66"/>
      <c r="S1024" s="66"/>
      <c r="T1024" s="66"/>
      <c r="U1024" s="66"/>
      <c r="V1024" s="66"/>
      <c r="W1024" s="66"/>
      <c r="X1024" s="66"/>
      <c r="Y1024" s="66"/>
      <c r="Z1024" s="66"/>
      <c r="AA1024" s="66"/>
      <c r="AB1024" s="66"/>
      <c r="AC1024" s="66"/>
      <c r="AD1024" s="66"/>
    </row>
    <row r="1025">
      <c r="A1025" s="66"/>
      <c r="B1025" s="66"/>
      <c r="C1025" s="66"/>
      <c r="D1025" s="66"/>
      <c r="E1025" s="66"/>
      <c r="F1025" s="66"/>
      <c r="G1025" s="66"/>
      <c r="H1025" s="38"/>
      <c r="I1025" s="66"/>
      <c r="J1025" s="66"/>
      <c r="K1025" s="66"/>
      <c r="L1025" s="66"/>
      <c r="M1025" s="66"/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  <c r="X1025" s="66"/>
      <c r="Y1025" s="66"/>
      <c r="Z1025" s="66"/>
      <c r="AA1025" s="66"/>
      <c r="AB1025" s="66"/>
      <c r="AC1025" s="66"/>
      <c r="AD1025" s="66"/>
    </row>
    <row r="1026">
      <c r="A1026" s="66"/>
      <c r="B1026" s="66"/>
      <c r="C1026" s="66"/>
      <c r="D1026" s="66"/>
      <c r="E1026" s="66"/>
      <c r="F1026" s="66"/>
      <c r="G1026" s="66"/>
      <c r="H1026" s="38"/>
      <c r="I1026" s="66"/>
      <c r="J1026" s="66"/>
      <c r="K1026" s="66"/>
      <c r="L1026" s="66"/>
      <c r="M1026" s="66"/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  <c r="X1026" s="66"/>
      <c r="Y1026" s="66"/>
      <c r="Z1026" s="66"/>
      <c r="AA1026" s="66"/>
      <c r="AB1026" s="66"/>
      <c r="AC1026" s="66"/>
      <c r="AD1026" s="66"/>
    </row>
    <row r="1027">
      <c r="A1027" s="66"/>
      <c r="B1027" s="66"/>
      <c r="C1027" s="66"/>
      <c r="D1027" s="66"/>
      <c r="E1027" s="66"/>
      <c r="F1027" s="66"/>
      <c r="G1027" s="66"/>
      <c r="H1027" s="38"/>
      <c r="I1027" s="66"/>
      <c r="J1027" s="66"/>
      <c r="K1027" s="66"/>
      <c r="L1027" s="66"/>
      <c r="M1027" s="66"/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  <c r="X1027" s="66"/>
      <c r="Y1027" s="66"/>
      <c r="Z1027" s="66"/>
      <c r="AA1027" s="66"/>
      <c r="AB1027" s="66"/>
      <c r="AC1027" s="66"/>
      <c r="AD1027" s="66"/>
    </row>
    <row r="1028">
      <c r="A1028" s="66"/>
      <c r="B1028" s="66"/>
      <c r="C1028" s="66"/>
      <c r="D1028" s="66"/>
      <c r="E1028" s="66"/>
      <c r="F1028" s="66"/>
      <c r="G1028" s="66"/>
      <c r="H1028" s="38"/>
      <c r="I1028" s="66"/>
      <c r="J1028" s="66"/>
      <c r="K1028" s="66"/>
      <c r="L1028" s="66"/>
      <c r="M1028" s="66"/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  <c r="X1028" s="66"/>
      <c r="Y1028" s="66"/>
      <c r="Z1028" s="66"/>
      <c r="AA1028" s="66"/>
      <c r="AB1028" s="66"/>
      <c r="AC1028" s="66"/>
      <c r="AD1028" s="66"/>
    </row>
    <row r="1029">
      <c r="A1029" s="66"/>
      <c r="B1029" s="66"/>
      <c r="C1029" s="66"/>
      <c r="D1029" s="66"/>
      <c r="E1029" s="66"/>
      <c r="F1029" s="66"/>
      <c r="G1029" s="66"/>
      <c r="H1029" s="38"/>
      <c r="I1029" s="66"/>
      <c r="J1029" s="66"/>
      <c r="K1029" s="66"/>
      <c r="L1029" s="66"/>
      <c r="M1029" s="66"/>
      <c r="N1029" s="66"/>
      <c r="O1029" s="66"/>
      <c r="P1029" s="66"/>
      <c r="Q1029" s="66"/>
      <c r="R1029" s="66"/>
      <c r="S1029" s="66"/>
      <c r="T1029" s="66"/>
      <c r="U1029" s="66"/>
      <c r="V1029" s="66"/>
      <c r="W1029" s="66"/>
      <c r="X1029" s="66"/>
      <c r="Y1029" s="66"/>
      <c r="Z1029" s="66"/>
      <c r="AA1029" s="66"/>
      <c r="AB1029" s="66"/>
      <c r="AC1029" s="66"/>
      <c r="AD1029" s="66"/>
    </row>
    <row r="1030">
      <c r="A1030" s="66"/>
      <c r="B1030" s="66"/>
      <c r="C1030" s="66"/>
      <c r="D1030" s="66"/>
      <c r="E1030" s="66"/>
      <c r="F1030" s="66"/>
      <c r="G1030" s="66"/>
      <c r="H1030" s="38"/>
      <c r="I1030" s="66"/>
      <c r="J1030" s="66"/>
      <c r="K1030" s="66"/>
      <c r="L1030" s="66"/>
      <c r="M1030" s="66"/>
      <c r="N1030" s="66"/>
      <c r="O1030" s="66"/>
      <c r="P1030" s="66"/>
      <c r="Q1030" s="66"/>
      <c r="R1030" s="66"/>
      <c r="S1030" s="66"/>
      <c r="T1030" s="66"/>
      <c r="U1030" s="66"/>
      <c r="V1030" s="66"/>
      <c r="W1030" s="66"/>
      <c r="X1030" s="66"/>
      <c r="Y1030" s="66"/>
      <c r="Z1030" s="66"/>
      <c r="AA1030" s="66"/>
      <c r="AB1030" s="66"/>
      <c r="AC1030" s="66"/>
      <c r="AD1030" s="66"/>
    </row>
    <row r="1031">
      <c r="A1031" s="66"/>
      <c r="B1031" s="66"/>
      <c r="C1031" s="66"/>
      <c r="D1031" s="66"/>
      <c r="E1031" s="66"/>
      <c r="F1031" s="66"/>
      <c r="G1031" s="66"/>
      <c r="H1031" s="38"/>
      <c r="I1031" s="66"/>
      <c r="J1031" s="66"/>
      <c r="K1031" s="66"/>
      <c r="L1031" s="66"/>
      <c r="M1031" s="66"/>
      <c r="N1031" s="66"/>
      <c r="O1031" s="66"/>
      <c r="P1031" s="66"/>
      <c r="Q1031" s="66"/>
      <c r="R1031" s="66"/>
      <c r="S1031" s="66"/>
      <c r="T1031" s="66"/>
      <c r="U1031" s="66"/>
      <c r="V1031" s="66"/>
      <c r="W1031" s="66"/>
      <c r="X1031" s="66"/>
      <c r="Y1031" s="66"/>
      <c r="Z1031" s="66"/>
      <c r="AA1031" s="66"/>
      <c r="AB1031" s="66"/>
      <c r="AC1031" s="66"/>
      <c r="AD1031" s="66"/>
    </row>
    <row r="1032">
      <c r="A1032" s="66"/>
      <c r="B1032" s="66"/>
      <c r="C1032" s="66"/>
      <c r="D1032" s="66"/>
      <c r="E1032" s="66"/>
      <c r="F1032" s="66"/>
      <c r="G1032" s="66"/>
      <c r="H1032" s="38"/>
      <c r="I1032" s="66"/>
      <c r="J1032" s="66"/>
      <c r="K1032" s="66"/>
      <c r="L1032" s="66"/>
      <c r="M1032" s="66"/>
      <c r="N1032" s="66"/>
      <c r="O1032" s="66"/>
      <c r="P1032" s="66"/>
      <c r="Q1032" s="66"/>
      <c r="R1032" s="66"/>
      <c r="S1032" s="66"/>
      <c r="T1032" s="66"/>
      <c r="U1032" s="66"/>
      <c r="V1032" s="66"/>
      <c r="W1032" s="66"/>
      <c r="X1032" s="66"/>
      <c r="Y1032" s="66"/>
      <c r="Z1032" s="66"/>
      <c r="AA1032" s="66"/>
      <c r="AB1032" s="66"/>
      <c r="AC1032" s="66"/>
      <c r="AD1032" s="66"/>
    </row>
    <row r="1033">
      <c r="A1033" s="66"/>
      <c r="B1033" s="66"/>
      <c r="C1033" s="66"/>
      <c r="D1033" s="66"/>
      <c r="E1033" s="66"/>
      <c r="F1033" s="66"/>
      <c r="G1033" s="66"/>
      <c r="H1033" s="38"/>
      <c r="I1033" s="66"/>
      <c r="J1033" s="66"/>
      <c r="K1033" s="66"/>
      <c r="L1033" s="66"/>
      <c r="M1033" s="66"/>
      <c r="N1033" s="66"/>
      <c r="O1033" s="66"/>
      <c r="P1033" s="66"/>
      <c r="Q1033" s="66"/>
      <c r="R1033" s="66"/>
      <c r="S1033" s="66"/>
      <c r="T1033" s="66"/>
      <c r="U1033" s="66"/>
      <c r="V1033" s="66"/>
      <c r="W1033" s="66"/>
      <c r="X1033" s="66"/>
      <c r="Y1033" s="66"/>
      <c r="Z1033" s="66"/>
      <c r="AA1033" s="66"/>
      <c r="AB1033" s="66"/>
      <c r="AC1033" s="66"/>
      <c r="AD1033" s="66"/>
    </row>
    <row r="1034">
      <c r="A1034" s="66"/>
      <c r="B1034" s="66"/>
      <c r="C1034" s="66"/>
      <c r="D1034" s="66"/>
      <c r="E1034" s="66"/>
      <c r="F1034" s="66"/>
      <c r="G1034" s="66"/>
      <c r="H1034" s="38"/>
      <c r="I1034" s="66"/>
      <c r="J1034" s="66"/>
      <c r="K1034" s="66"/>
      <c r="L1034" s="66"/>
      <c r="M1034" s="66"/>
      <c r="N1034" s="66"/>
      <c r="O1034" s="66"/>
      <c r="P1034" s="66"/>
      <c r="Q1034" s="66"/>
      <c r="R1034" s="66"/>
      <c r="S1034" s="66"/>
      <c r="T1034" s="66"/>
      <c r="U1034" s="66"/>
      <c r="V1034" s="66"/>
      <c r="W1034" s="66"/>
      <c r="X1034" s="66"/>
      <c r="Y1034" s="66"/>
      <c r="Z1034" s="66"/>
      <c r="AA1034" s="66"/>
      <c r="AB1034" s="66"/>
      <c r="AC1034" s="66"/>
      <c r="AD1034" s="66"/>
    </row>
    <row r="1035">
      <c r="A1035" s="66"/>
      <c r="B1035" s="66"/>
      <c r="C1035" s="66"/>
      <c r="D1035" s="66"/>
      <c r="E1035" s="66"/>
      <c r="F1035" s="66"/>
      <c r="G1035" s="66"/>
      <c r="H1035" s="38"/>
      <c r="I1035" s="66"/>
      <c r="J1035" s="66"/>
      <c r="K1035" s="66"/>
      <c r="L1035" s="66"/>
      <c r="M1035" s="66"/>
      <c r="N1035" s="66"/>
      <c r="O1035" s="66"/>
      <c r="P1035" s="66"/>
      <c r="Q1035" s="66"/>
      <c r="R1035" s="66"/>
      <c r="S1035" s="66"/>
      <c r="T1035" s="66"/>
      <c r="U1035" s="66"/>
      <c r="V1035" s="66"/>
      <c r="W1035" s="66"/>
      <c r="X1035" s="66"/>
      <c r="Y1035" s="66"/>
      <c r="Z1035" s="66"/>
      <c r="AA1035" s="66"/>
      <c r="AB1035" s="66"/>
      <c r="AC1035" s="66"/>
      <c r="AD1035" s="66"/>
    </row>
    <row r="1036">
      <c r="A1036" s="66"/>
      <c r="B1036" s="66"/>
      <c r="C1036" s="66"/>
      <c r="D1036" s="66"/>
      <c r="E1036" s="66"/>
      <c r="F1036" s="66"/>
      <c r="G1036" s="66"/>
      <c r="H1036" s="38"/>
      <c r="I1036" s="66"/>
      <c r="J1036" s="66"/>
      <c r="K1036" s="66"/>
      <c r="L1036" s="66"/>
      <c r="M1036" s="66"/>
      <c r="N1036" s="66"/>
      <c r="O1036" s="66"/>
      <c r="P1036" s="66"/>
      <c r="Q1036" s="66"/>
      <c r="R1036" s="66"/>
      <c r="S1036" s="66"/>
      <c r="T1036" s="66"/>
      <c r="U1036" s="66"/>
      <c r="V1036" s="66"/>
      <c r="W1036" s="66"/>
      <c r="X1036" s="66"/>
      <c r="Y1036" s="66"/>
      <c r="Z1036" s="66"/>
      <c r="AA1036" s="66"/>
      <c r="AB1036" s="66"/>
      <c r="AC1036" s="66"/>
      <c r="AD1036" s="66"/>
    </row>
    <row r="1037">
      <c r="A1037" s="66"/>
      <c r="B1037" s="66"/>
      <c r="C1037" s="66"/>
      <c r="D1037" s="66"/>
      <c r="E1037" s="66"/>
      <c r="F1037" s="66"/>
      <c r="G1037" s="66"/>
      <c r="H1037" s="38"/>
      <c r="I1037" s="66"/>
      <c r="J1037" s="66"/>
      <c r="K1037" s="66"/>
      <c r="L1037" s="66"/>
      <c r="M1037" s="66"/>
      <c r="N1037" s="66"/>
      <c r="O1037" s="66"/>
      <c r="P1037" s="66"/>
      <c r="Q1037" s="66"/>
      <c r="R1037" s="66"/>
      <c r="S1037" s="66"/>
      <c r="T1037" s="66"/>
      <c r="U1037" s="66"/>
      <c r="V1037" s="66"/>
      <c r="W1037" s="66"/>
      <c r="X1037" s="66"/>
      <c r="Y1037" s="66"/>
      <c r="Z1037" s="66"/>
      <c r="AA1037" s="66"/>
      <c r="AB1037" s="66"/>
      <c r="AC1037" s="66"/>
      <c r="AD1037" s="66"/>
    </row>
    <row r="1038">
      <c r="A1038" s="66"/>
      <c r="B1038" s="66"/>
      <c r="C1038" s="66"/>
      <c r="D1038" s="66"/>
      <c r="E1038" s="66"/>
      <c r="F1038" s="66"/>
      <c r="G1038" s="66"/>
      <c r="H1038" s="38"/>
      <c r="I1038" s="66"/>
      <c r="J1038" s="66"/>
      <c r="K1038" s="66"/>
      <c r="L1038" s="66"/>
      <c r="M1038" s="66"/>
      <c r="N1038" s="66"/>
      <c r="O1038" s="66"/>
      <c r="P1038" s="66"/>
      <c r="Q1038" s="66"/>
      <c r="R1038" s="66"/>
      <c r="S1038" s="66"/>
      <c r="T1038" s="66"/>
      <c r="U1038" s="66"/>
      <c r="V1038" s="66"/>
      <c r="W1038" s="66"/>
      <c r="X1038" s="66"/>
      <c r="Y1038" s="66"/>
      <c r="Z1038" s="66"/>
      <c r="AA1038" s="66"/>
      <c r="AB1038" s="66"/>
      <c r="AC1038" s="66"/>
      <c r="AD1038" s="66"/>
    </row>
    <row r="1039">
      <c r="A1039" s="66"/>
      <c r="B1039" s="66"/>
      <c r="C1039" s="66"/>
      <c r="D1039" s="66"/>
      <c r="E1039" s="66"/>
      <c r="F1039" s="66"/>
      <c r="G1039" s="66"/>
      <c r="H1039" s="38"/>
      <c r="I1039" s="66"/>
      <c r="J1039" s="66"/>
      <c r="K1039" s="66"/>
      <c r="L1039" s="66"/>
      <c r="M1039" s="66"/>
      <c r="N1039" s="66"/>
      <c r="O1039" s="66"/>
      <c r="P1039" s="66"/>
      <c r="Q1039" s="66"/>
      <c r="R1039" s="66"/>
      <c r="S1039" s="66"/>
      <c r="T1039" s="66"/>
      <c r="U1039" s="66"/>
      <c r="V1039" s="66"/>
      <c r="W1039" s="66"/>
      <c r="X1039" s="66"/>
      <c r="Y1039" s="66"/>
      <c r="Z1039" s="66"/>
      <c r="AA1039" s="66"/>
      <c r="AB1039" s="66"/>
      <c r="AC1039" s="66"/>
      <c r="AD1039" s="66"/>
    </row>
    <row r="1040">
      <c r="A1040" s="66"/>
      <c r="B1040" s="66"/>
      <c r="C1040" s="66"/>
      <c r="D1040" s="66"/>
      <c r="E1040" s="66"/>
      <c r="F1040" s="66"/>
      <c r="G1040" s="66"/>
      <c r="H1040" s="38"/>
      <c r="I1040" s="66"/>
      <c r="J1040" s="66"/>
      <c r="K1040" s="66"/>
      <c r="L1040" s="66"/>
      <c r="M1040" s="66"/>
      <c r="N1040" s="66"/>
      <c r="O1040" s="66"/>
      <c r="P1040" s="66"/>
      <c r="Q1040" s="66"/>
      <c r="R1040" s="66"/>
      <c r="S1040" s="66"/>
      <c r="T1040" s="66"/>
      <c r="U1040" s="66"/>
      <c r="V1040" s="66"/>
      <c r="W1040" s="66"/>
      <c r="X1040" s="66"/>
      <c r="Y1040" s="66"/>
      <c r="Z1040" s="66"/>
      <c r="AA1040" s="66"/>
      <c r="AB1040" s="66"/>
      <c r="AC1040" s="66"/>
      <c r="AD1040" s="66"/>
    </row>
    <row r="1041">
      <c r="A1041" s="66"/>
      <c r="B1041" s="66"/>
      <c r="C1041" s="66"/>
      <c r="D1041" s="66"/>
      <c r="E1041" s="66"/>
      <c r="F1041" s="66"/>
      <c r="G1041" s="66"/>
      <c r="H1041" s="38"/>
      <c r="I1041" s="66"/>
      <c r="J1041" s="66"/>
      <c r="K1041" s="66"/>
      <c r="L1041" s="66"/>
      <c r="M1041" s="66"/>
      <c r="N1041" s="66"/>
      <c r="O1041" s="66"/>
      <c r="P1041" s="66"/>
      <c r="Q1041" s="66"/>
      <c r="R1041" s="66"/>
      <c r="S1041" s="66"/>
      <c r="T1041" s="66"/>
      <c r="U1041" s="66"/>
      <c r="V1041" s="66"/>
      <c r="W1041" s="66"/>
      <c r="X1041" s="66"/>
      <c r="Y1041" s="66"/>
      <c r="Z1041" s="66"/>
      <c r="AA1041" s="66"/>
      <c r="AB1041" s="66"/>
      <c r="AC1041" s="66"/>
      <c r="AD1041" s="66"/>
    </row>
    <row r="1042">
      <c r="A1042" s="66"/>
      <c r="B1042" s="66"/>
      <c r="C1042" s="66"/>
      <c r="D1042" s="66"/>
      <c r="E1042" s="66"/>
      <c r="F1042" s="66"/>
      <c r="G1042" s="66"/>
      <c r="H1042" s="38"/>
      <c r="I1042" s="66"/>
      <c r="J1042" s="66"/>
      <c r="K1042" s="66"/>
      <c r="L1042" s="66"/>
      <c r="M1042" s="66"/>
      <c r="N1042" s="66"/>
      <c r="O1042" s="66"/>
      <c r="P1042" s="66"/>
      <c r="Q1042" s="66"/>
      <c r="R1042" s="66"/>
      <c r="S1042" s="66"/>
      <c r="T1042" s="66"/>
      <c r="U1042" s="66"/>
      <c r="V1042" s="66"/>
      <c r="W1042" s="66"/>
      <c r="X1042" s="66"/>
      <c r="Y1042" s="66"/>
      <c r="Z1042" s="66"/>
      <c r="AA1042" s="66"/>
      <c r="AB1042" s="66"/>
      <c r="AC1042" s="66"/>
      <c r="AD1042" s="66"/>
    </row>
    <row r="1043">
      <c r="A1043" s="66"/>
      <c r="B1043" s="66"/>
      <c r="C1043" s="66"/>
      <c r="D1043" s="66"/>
      <c r="E1043" s="66"/>
      <c r="F1043" s="66"/>
      <c r="G1043" s="66"/>
      <c r="H1043" s="38"/>
      <c r="I1043" s="66"/>
      <c r="J1043" s="66"/>
      <c r="K1043" s="66"/>
      <c r="L1043" s="66"/>
      <c r="M1043" s="66"/>
      <c r="N1043" s="66"/>
      <c r="O1043" s="66"/>
      <c r="P1043" s="66"/>
      <c r="Q1043" s="66"/>
      <c r="R1043" s="66"/>
      <c r="S1043" s="66"/>
      <c r="T1043" s="66"/>
      <c r="U1043" s="66"/>
      <c r="V1043" s="66"/>
      <c r="W1043" s="66"/>
      <c r="X1043" s="66"/>
      <c r="Y1043" s="66"/>
      <c r="Z1043" s="66"/>
      <c r="AA1043" s="66"/>
      <c r="AB1043" s="66"/>
      <c r="AC1043" s="66"/>
      <c r="AD1043" s="66"/>
    </row>
    <row r="1044">
      <c r="A1044" s="66"/>
      <c r="B1044" s="66"/>
      <c r="C1044" s="66"/>
      <c r="D1044" s="66"/>
      <c r="E1044" s="66"/>
      <c r="F1044" s="66"/>
      <c r="G1044" s="66"/>
      <c r="H1044" s="38"/>
      <c r="I1044" s="66"/>
      <c r="J1044" s="66"/>
      <c r="K1044" s="66"/>
      <c r="L1044" s="66"/>
      <c r="M1044" s="66"/>
      <c r="N1044" s="66"/>
      <c r="O1044" s="66"/>
      <c r="P1044" s="66"/>
      <c r="Q1044" s="66"/>
      <c r="R1044" s="66"/>
      <c r="S1044" s="66"/>
      <c r="T1044" s="66"/>
      <c r="U1044" s="66"/>
      <c r="V1044" s="66"/>
      <c r="W1044" s="66"/>
      <c r="X1044" s="66"/>
      <c r="Y1044" s="66"/>
      <c r="Z1044" s="66"/>
      <c r="AA1044" s="66"/>
      <c r="AB1044" s="66"/>
      <c r="AC1044" s="66"/>
      <c r="AD1044" s="66"/>
    </row>
    <row r="1045">
      <c r="A1045" s="66"/>
      <c r="B1045" s="66"/>
      <c r="C1045" s="66"/>
      <c r="D1045" s="66"/>
      <c r="E1045" s="66"/>
      <c r="F1045" s="66"/>
      <c r="G1045" s="66"/>
      <c r="H1045" s="38"/>
      <c r="I1045" s="66"/>
      <c r="J1045" s="66"/>
      <c r="K1045" s="66"/>
      <c r="L1045" s="66"/>
      <c r="M1045" s="66"/>
      <c r="N1045" s="66"/>
      <c r="O1045" s="66"/>
      <c r="P1045" s="66"/>
      <c r="Q1045" s="66"/>
      <c r="R1045" s="66"/>
      <c r="S1045" s="66"/>
      <c r="T1045" s="66"/>
      <c r="U1045" s="66"/>
      <c r="V1045" s="66"/>
      <c r="W1045" s="66"/>
      <c r="X1045" s="66"/>
      <c r="Y1045" s="66"/>
      <c r="Z1045" s="66"/>
      <c r="AA1045" s="66"/>
      <c r="AB1045" s="66"/>
      <c r="AC1045" s="66"/>
      <c r="AD1045" s="66"/>
    </row>
    <row r="1046">
      <c r="A1046" s="66"/>
      <c r="B1046" s="66"/>
      <c r="C1046" s="66"/>
      <c r="D1046" s="66"/>
      <c r="E1046" s="66"/>
      <c r="F1046" s="66"/>
      <c r="G1046" s="66"/>
      <c r="H1046" s="38"/>
      <c r="I1046" s="66"/>
      <c r="J1046" s="66"/>
      <c r="K1046" s="66"/>
      <c r="L1046" s="66"/>
      <c r="M1046" s="66"/>
      <c r="N1046" s="66"/>
      <c r="O1046" s="66"/>
      <c r="P1046" s="66"/>
      <c r="Q1046" s="66"/>
      <c r="R1046" s="66"/>
      <c r="S1046" s="66"/>
      <c r="T1046" s="66"/>
      <c r="U1046" s="66"/>
      <c r="V1046" s="66"/>
      <c r="W1046" s="66"/>
      <c r="X1046" s="66"/>
      <c r="Y1046" s="66"/>
      <c r="Z1046" s="66"/>
      <c r="AA1046" s="66"/>
      <c r="AB1046" s="66"/>
      <c r="AC1046" s="66"/>
      <c r="AD1046" s="66"/>
    </row>
    <row r="1047">
      <c r="A1047" s="66"/>
      <c r="B1047" s="66"/>
      <c r="C1047" s="66"/>
      <c r="D1047" s="66"/>
      <c r="E1047" s="66"/>
      <c r="F1047" s="66"/>
      <c r="G1047" s="66"/>
      <c r="H1047" s="38"/>
      <c r="I1047" s="66"/>
      <c r="J1047" s="66"/>
      <c r="K1047" s="66"/>
      <c r="L1047" s="66"/>
      <c r="M1047" s="66"/>
      <c r="N1047" s="66"/>
      <c r="O1047" s="66"/>
      <c r="P1047" s="66"/>
      <c r="Q1047" s="66"/>
      <c r="R1047" s="66"/>
      <c r="S1047" s="66"/>
      <c r="T1047" s="66"/>
      <c r="U1047" s="66"/>
      <c r="V1047" s="66"/>
      <c r="W1047" s="66"/>
      <c r="X1047" s="66"/>
      <c r="Y1047" s="66"/>
      <c r="Z1047" s="66"/>
      <c r="AA1047" s="66"/>
      <c r="AB1047" s="66"/>
      <c r="AC1047" s="66"/>
      <c r="AD1047" s="66"/>
    </row>
    <row r="1048">
      <c r="A1048" s="66"/>
      <c r="B1048" s="66"/>
      <c r="C1048" s="66"/>
      <c r="D1048" s="66"/>
      <c r="E1048" s="66"/>
      <c r="F1048" s="66"/>
      <c r="G1048" s="66"/>
      <c r="H1048" s="38"/>
      <c r="I1048" s="66"/>
      <c r="J1048" s="66"/>
      <c r="K1048" s="66"/>
      <c r="L1048" s="66"/>
      <c r="M1048" s="66"/>
      <c r="N1048" s="66"/>
      <c r="O1048" s="66"/>
      <c r="P1048" s="66"/>
      <c r="Q1048" s="66"/>
      <c r="R1048" s="66"/>
      <c r="S1048" s="66"/>
      <c r="T1048" s="66"/>
      <c r="U1048" s="66"/>
      <c r="V1048" s="66"/>
      <c r="W1048" s="66"/>
      <c r="X1048" s="66"/>
      <c r="Y1048" s="66"/>
      <c r="Z1048" s="66"/>
      <c r="AA1048" s="66"/>
      <c r="AB1048" s="66"/>
      <c r="AC1048" s="66"/>
      <c r="AD1048" s="66"/>
    </row>
    <row r="1049">
      <c r="A1049" s="66"/>
      <c r="B1049" s="66"/>
      <c r="C1049" s="66"/>
      <c r="D1049" s="66"/>
      <c r="E1049" s="66"/>
      <c r="F1049" s="66"/>
      <c r="G1049" s="66"/>
      <c r="H1049" s="38"/>
      <c r="I1049" s="66"/>
      <c r="J1049" s="66"/>
      <c r="K1049" s="66"/>
      <c r="L1049" s="66"/>
      <c r="M1049" s="66"/>
      <c r="N1049" s="66"/>
      <c r="O1049" s="66"/>
      <c r="P1049" s="66"/>
      <c r="Q1049" s="66"/>
      <c r="R1049" s="66"/>
      <c r="S1049" s="66"/>
      <c r="T1049" s="66"/>
      <c r="U1049" s="66"/>
      <c r="V1049" s="66"/>
      <c r="W1049" s="66"/>
      <c r="X1049" s="66"/>
      <c r="Y1049" s="66"/>
      <c r="Z1049" s="66"/>
      <c r="AA1049" s="66"/>
      <c r="AB1049" s="66"/>
      <c r="AC1049" s="66"/>
      <c r="AD1049" s="66"/>
    </row>
    <row r="1050">
      <c r="A1050" s="66"/>
      <c r="B1050" s="66"/>
      <c r="C1050" s="66"/>
      <c r="D1050" s="66"/>
      <c r="E1050" s="66"/>
      <c r="F1050" s="66"/>
      <c r="G1050" s="66"/>
      <c r="H1050" s="38"/>
      <c r="I1050" s="66"/>
      <c r="J1050" s="66"/>
      <c r="K1050" s="66"/>
      <c r="L1050" s="66"/>
      <c r="M1050" s="66"/>
      <c r="N1050" s="66"/>
      <c r="O1050" s="66"/>
      <c r="P1050" s="66"/>
      <c r="Q1050" s="66"/>
      <c r="R1050" s="66"/>
      <c r="S1050" s="66"/>
      <c r="T1050" s="66"/>
      <c r="U1050" s="66"/>
      <c r="V1050" s="66"/>
      <c r="W1050" s="66"/>
      <c r="X1050" s="66"/>
      <c r="Y1050" s="66"/>
      <c r="Z1050" s="66"/>
      <c r="AA1050" s="66"/>
      <c r="AB1050" s="66"/>
      <c r="AC1050" s="66"/>
      <c r="AD1050" s="66"/>
    </row>
    <row r="1051">
      <c r="A1051" s="66"/>
      <c r="B1051" s="66"/>
      <c r="C1051" s="66"/>
      <c r="D1051" s="66"/>
      <c r="E1051" s="66"/>
      <c r="F1051" s="66"/>
      <c r="G1051" s="66"/>
      <c r="H1051" s="38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  <c r="AA1051" s="66"/>
      <c r="AB1051" s="66"/>
      <c r="AC1051" s="66"/>
      <c r="AD1051" s="66"/>
    </row>
    <row r="1052">
      <c r="A1052" s="66"/>
      <c r="B1052" s="66"/>
      <c r="C1052" s="66"/>
      <c r="D1052" s="66"/>
      <c r="E1052" s="66"/>
      <c r="F1052" s="66"/>
      <c r="G1052" s="66"/>
      <c r="H1052" s="38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  <c r="AA1052" s="66"/>
      <c r="AB1052" s="66"/>
      <c r="AC1052" s="66"/>
      <c r="AD1052" s="66"/>
    </row>
    <row r="1053">
      <c r="A1053" s="66"/>
      <c r="B1053" s="66"/>
      <c r="C1053" s="66"/>
      <c r="D1053" s="66"/>
      <c r="E1053" s="66"/>
      <c r="F1053" s="66"/>
      <c r="G1053" s="66"/>
      <c r="H1053" s="38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  <c r="Y1053" s="66"/>
      <c r="Z1053" s="66"/>
      <c r="AA1053" s="66"/>
      <c r="AB1053" s="66"/>
      <c r="AC1053" s="66"/>
      <c r="AD1053" s="66"/>
    </row>
    <row r="1054">
      <c r="A1054" s="66"/>
      <c r="B1054" s="66"/>
      <c r="C1054" s="66"/>
      <c r="D1054" s="66"/>
      <c r="E1054" s="66"/>
      <c r="F1054" s="66"/>
      <c r="G1054" s="66"/>
      <c r="H1054" s="38"/>
      <c r="I1054" s="66"/>
      <c r="J1054" s="66"/>
      <c r="K1054" s="66"/>
      <c r="L1054" s="66"/>
      <c r="M1054" s="66"/>
      <c r="N1054" s="66"/>
      <c r="O1054" s="66"/>
      <c r="P1054" s="66"/>
      <c r="Q1054" s="66"/>
      <c r="R1054" s="66"/>
      <c r="S1054" s="66"/>
      <c r="T1054" s="66"/>
      <c r="U1054" s="66"/>
      <c r="V1054" s="66"/>
      <c r="W1054" s="66"/>
      <c r="X1054" s="66"/>
      <c r="Y1054" s="66"/>
      <c r="Z1054" s="66"/>
      <c r="AA1054" s="66"/>
      <c r="AB1054" s="66"/>
      <c r="AC1054" s="66"/>
      <c r="AD1054" s="66"/>
    </row>
    <row r="1055">
      <c r="A1055" s="66"/>
      <c r="B1055" s="66"/>
      <c r="C1055" s="66"/>
      <c r="D1055" s="66"/>
      <c r="E1055" s="66"/>
      <c r="F1055" s="66"/>
      <c r="G1055" s="66"/>
      <c r="H1055" s="38"/>
      <c r="I1055" s="66"/>
      <c r="J1055" s="66"/>
      <c r="K1055" s="66"/>
      <c r="L1055" s="66"/>
      <c r="M1055" s="66"/>
      <c r="N1055" s="66"/>
      <c r="O1055" s="66"/>
      <c r="P1055" s="66"/>
      <c r="Q1055" s="66"/>
      <c r="R1055" s="66"/>
      <c r="S1055" s="66"/>
      <c r="T1055" s="66"/>
      <c r="U1055" s="66"/>
      <c r="V1055" s="66"/>
      <c r="W1055" s="66"/>
      <c r="X1055" s="66"/>
      <c r="Y1055" s="66"/>
      <c r="Z1055" s="66"/>
      <c r="AA1055" s="66"/>
      <c r="AB1055" s="66"/>
      <c r="AC1055" s="66"/>
      <c r="AD1055" s="66"/>
    </row>
    <row r="1056">
      <c r="A1056" s="66"/>
      <c r="B1056" s="66"/>
      <c r="C1056" s="66"/>
      <c r="D1056" s="66"/>
      <c r="E1056" s="66"/>
      <c r="F1056" s="66"/>
      <c r="G1056" s="66"/>
      <c r="H1056" s="38"/>
      <c r="I1056" s="66"/>
      <c r="J1056" s="66"/>
      <c r="K1056" s="66"/>
      <c r="L1056" s="66"/>
      <c r="M1056" s="66"/>
      <c r="N1056" s="66"/>
      <c r="O1056" s="66"/>
      <c r="P1056" s="66"/>
      <c r="Q1056" s="66"/>
      <c r="R1056" s="66"/>
      <c r="S1056" s="66"/>
      <c r="T1056" s="66"/>
      <c r="U1056" s="66"/>
      <c r="V1056" s="66"/>
      <c r="W1056" s="66"/>
      <c r="X1056" s="66"/>
      <c r="Y1056" s="66"/>
      <c r="Z1056" s="66"/>
      <c r="AA1056" s="66"/>
      <c r="AB1056" s="66"/>
      <c r="AC1056" s="66"/>
      <c r="AD1056" s="66"/>
    </row>
  </sheetData>
  <mergeCells count="1">
    <mergeCell ref="B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23.5"/>
    <col customWidth="1" min="3" max="3" width="18.5"/>
    <col customWidth="1" min="4" max="4" width="38.88"/>
    <col customWidth="1" min="5" max="21" width="18.5"/>
  </cols>
  <sheetData>
    <row r="1" ht="22.5" customHeight="1">
      <c r="A1" s="92" t="s">
        <v>415</v>
      </c>
      <c r="B1" s="92" t="s">
        <v>2</v>
      </c>
      <c r="C1" s="92" t="s">
        <v>416</v>
      </c>
      <c r="D1" s="93" t="s">
        <v>417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</row>
    <row r="2">
      <c r="A2" s="94">
        <v>46013.0</v>
      </c>
      <c r="B2" s="95" t="s">
        <v>418</v>
      </c>
      <c r="C2" s="95">
        <v>7.9832933013E10</v>
      </c>
      <c r="D2" s="96"/>
    </row>
    <row r="3">
      <c r="A3" s="94">
        <v>46013.0</v>
      </c>
      <c r="B3" s="95" t="s">
        <v>419</v>
      </c>
      <c r="C3" s="95">
        <v>7.903179065E10</v>
      </c>
      <c r="D3" s="96"/>
    </row>
    <row r="4">
      <c r="A4" s="94">
        <v>46013.0</v>
      </c>
      <c r="B4" s="95" t="s">
        <v>420</v>
      </c>
      <c r="C4" s="95">
        <v>7.9264025513E10</v>
      </c>
      <c r="D4" s="96"/>
    </row>
    <row r="5">
      <c r="A5" s="94">
        <v>46015.0</v>
      </c>
      <c r="B5" s="95" t="s">
        <v>421</v>
      </c>
      <c r="C5" s="95" t="s">
        <v>422</v>
      </c>
      <c r="D5" s="96"/>
    </row>
    <row r="6">
      <c r="A6" s="94">
        <v>46015.0</v>
      </c>
      <c r="B6" s="95" t="s">
        <v>423</v>
      </c>
      <c r="C6" s="95" t="s">
        <v>424</v>
      </c>
      <c r="D6" s="96"/>
    </row>
    <row r="7">
      <c r="A7" s="94">
        <v>46015.0</v>
      </c>
      <c r="B7" s="95" t="s">
        <v>425</v>
      </c>
      <c r="C7" s="95" t="s">
        <v>426</v>
      </c>
      <c r="D7" s="96"/>
    </row>
    <row r="8">
      <c r="A8" s="94">
        <v>46017.0</v>
      </c>
      <c r="B8" s="95" t="s">
        <v>427</v>
      </c>
      <c r="C8" s="95">
        <v>7.9161591277E10</v>
      </c>
      <c r="D8" s="96"/>
    </row>
    <row r="9">
      <c r="A9" s="94">
        <v>46017.0</v>
      </c>
      <c r="B9" s="95" t="s">
        <v>428</v>
      </c>
      <c r="C9" s="95">
        <v>7.9255346696E10</v>
      </c>
      <c r="D9" s="96"/>
    </row>
    <row r="10">
      <c r="A10" s="94">
        <v>46017.0</v>
      </c>
      <c r="B10" s="95" t="s">
        <v>429</v>
      </c>
      <c r="C10" s="95">
        <v>7.9235342527E10</v>
      </c>
      <c r="D10" s="96"/>
    </row>
    <row r="11">
      <c r="A11" s="94">
        <v>46018.0</v>
      </c>
      <c r="B11" s="95" t="s">
        <v>430</v>
      </c>
      <c r="C11" s="95" t="s">
        <v>431</v>
      </c>
      <c r="D11" s="96"/>
    </row>
    <row r="12">
      <c r="A12" s="94">
        <v>46018.0</v>
      </c>
      <c r="B12" s="95" t="s">
        <v>432</v>
      </c>
      <c r="C12" s="95" t="s">
        <v>433</v>
      </c>
      <c r="D12" s="96"/>
    </row>
    <row r="13">
      <c r="A13" s="94">
        <v>46018.0</v>
      </c>
      <c r="B13" s="97" t="s">
        <v>434</v>
      </c>
      <c r="C13" s="97" t="s">
        <v>435</v>
      </c>
      <c r="D13" s="96"/>
    </row>
    <row r="14">
      <c r="A14" s="94">
        <v>46034.0</v>
      </c>
      <c r="B14" s="97" t="s">
        <v>436</v>
      </c>
      <c r="C14" s="97">
        <v>7.9269021234E10</v>
      </c>
      <c r="D14" s="96"/>
    </row>
    <row r="15">
      <c r="A15" s="94">
        <v>46034.0</v>
      </c>
      <c r="B15" s="97" t="s">
        <v>52</v>
      </c>
      <c r="C15" s="97" t="s">
        <v>437</v>
      </c>
      <c r="D15" s="96"/>
    </row>
    <row r="16">
      <c r="A16" s="94">
        <v>46034.0</v>
      </c>
      <c r="B16" s="97" t="s">
        <v>438</v>
      </c>
      <c r="C16" s="97" t="s">
        <v>439</v>
      </c>
      <c r="D16" s="96"/>
    </row>
    <row r="17">
      <c r="A17" s="94">
        <v>46041.0</v>
      </c>
      <c r="B17" s="97" t="s">
        <v>52</v>
      </c>
      <c r="C17" s="97" t="s">
        <v>440</v>
      </c>
      <c r="D17" s="96"/>
    </row>
    <row r="18">
      <c r="A18" s="98">
        <v>46041.0</v>
      </c>
      <c r="B18" s="99" t="s">
        <v>22</v>
      </c>
      <c r="C18" s="99" t="s">
        <v>441</v>
      </c>
      <c r="D18" s="100" t="s">
        <v>442</v>
      </c>
    </row>
    <row r="19">
      <c r="A19" s="94">
        <v>46041.0</v>
      </c>
      <c r="B19" s="97" t="s">
        <v>443</v>
      </c>
      <c r="C19" s="97" t="s">
        <v>444</v>
      </c>
      <c r="D19" s="96"/>
    </row>
    <row r="20">
      <c r="A20" s="94">
        <v>46043.0</v>
      </c>
      <c r="B20" s="97" t="s">
        <v>147</v>
      </c>
      <c r="C20" s="97">
        <v>7.9055502088E10</v>
      </c>
      <c r="D20" s="96"/>
    </row>
    <row r="21">
      <c r="A21" s="94">
        <v>46043.0</v>
      </c>
      <c r="B21" s="97" t="s">
        <v>68</v>
      </c>
      <c r="C21" s="97">
        <v>7.9629003642E10</v>
      </c>
      <c r="D21" s="96"/>
    </row>
    <row r="22">
      <c r="A22" s="94">
        <v>46043.0</v>
      </c>
      <c r="B22" s="97" t="s">
        <v>445</v>
      </c>
      <c r="C22" s="97">
        <v>7.9150774437E10</v>
      </c>
      <c r="D22" s="96"/>
    </row>
    <row r="23">
      <c r="A23" s="94">
        <v>46044.0</v>
      </c>
      <c r="B23" s="101" t="s">
        <v>446</v>
      </c>
      <c r="C23" s="95">
        <f>79166874450</f>
        <v>79166874450</v>
      </c>
      <c r="D23" s="96"/>
    </row>
    <row r="24">
      <c r="A24" s="94">
        <v>46044.0</v>
      </c>
      <c r="B24" s="97" t="s">
        <v>52</v>
      </c>
      <c r="C24" s="95">
        <f>79267276901</f>
        <v>79267276901</v>
      </c>
      <c r="D24" s="96"/>
    </row>
    <row r="25">
      <c r="A25" s="94">
        <v>46044.0</v>
      </c>
      <c r="B25" s="97" t="s">
        <v>52</v>
      </c>
      <c r="C25" s="95">
        <f>79164697098</f>
        <v>79164697098</v>
      </c>
      <c r="D25" s="96"/>
    </row>
    <row r="26">
      <c r="A26" s="94">
        <v>46349.0</v>
      </c>
      <c r="B26" s="97" t="s">
        <v>447</v>
      </c>
      <c r="C26" s="97" t="s">
        <v>448</v>
      </c>
      <c r="D26" s="96"/>
    </row>
    <row r="27">
      <c r="A27" s="102">
        <v>46349.0</v>
      </c>
      <c r="B27" s="97" t="s">
        <v>55</v>
      </c>
      <c r="C27" s="97" t="s">
        <v>449</v>
      </c>
      <c r="D27" s="103"/>
    </row>
    <row r="28">
      <c r="A28" s="102">
        <v>46349.0</v>
      </c>
      <c r="B28" s="97" t="s">
        <v>41</v>
      </c>
      <c r="C28" s="97" t="s">
        <v>450</v>
      </c>
      <c r="D28" s="97"/>
    </row>
    <row r="29">
      <c r="A29" s="104">
        <v>46046.0</v>
      </c>
      <c r="B29" s="97" t="s">
        <v>177</v>
      </c>
      <c r="C29" s="95">
        <f>79254818124</f>
        <v>79254818124</v>
      </c>
      <c r="D29" s="97"/>
    </row>
    <row r="30">
      <c r="A30" s="104">
        <v>46046.0</v>
      </c>
      <c r="B30" s="97" t="s">
        <v>451</v>
      </c>
      <c r="C30" s="95">
        <f>79269781406</f>
        <v>79269781406</v>
      </c>
      <c r="D30" s="97"/>
    </row>
    <row r="31">
      <c r="A31" s="104">
        <v>46046.0</v>
      </c>
      <c r="B31" s="97" t="s">
        <v>107</v>
      </c>
      <c r="C31" s="105">
        <v>7.9851759291E10</v>
      </c>
      <c r="D31" s="97"/>
    </row>
    <row r="32">
      <c r="A32" s="104">
        <v>46048.0</v>
      </c>
      <c r="B32" s="97" t="s">
        <v>452</v>
      </c>
      <c r="C32" s="97" t="s">
        <v>453</v>
      </c>
      <c r="D32" s="97"/>
    </row>
    <row r="33">
      <c r="A33" s="104">
        <v>46048.0</v>
      </c>
      <c r="B33" s="97" t="s">
        <v>454</v>
      </c>
      <c r="C33" s="97" t="s">
        <v>455</v>
      </c>
      <c r="D33" s="97"/>
    </row>
    <row r="34">
      <c r="A34" s="104">
        <v>46048.0</v>
      </c>
      <c r="B34" s="97" t="s">
        <v>456</v>
      </c>
      <c r="C34" s="97" t="s">
        <v>457</v>
      </c>
      <c r="D34" s="97"/>
    </row>
    <row r="35">
      <c r="A35" s="104">
        <v>46049.0</v>
      </c>
      <c r="B35" s="97" t="s">
        <v>458</v>
      </c>
      <c r="C35" s="97">
        <v>7.9190390999E10</v>
      </c>
      <c r="D35" s="97"/>
    </row>
    <row r="36">
      <c r="A36" s="104">
        <v>46049.0</v>
      </c>
      <c r="B36" s="97" t="s">
        <v>459</v>
      </c>
      <c r="C36" s="97">
        <v>7.9167164235E10</v>
      </c>
      <c r="D36" s="97"/>
    </row>
    <row r="37">
      <c r="A37" s="104">
        <v>46049.0</v>
      </c>
      <c r="B37" s="97" t="s">
        <v>460</v>
      </c>
      <c r="C37" s="97">
        <v>7.9166070438E10</v>
      </c>
      <c r="D37" s="97"/>
    </row>
    <row r="38">
      <c r="A38" s="104">
        <v>46050.0</v>
      </c>
      <c r="B38" s="97" t="s">
        <v>461</v>
      </c>
      <c r="C38" s="97">
        <v>8.9263018362E10</v>
      </c>
      <c r="D38" s="97"/>
    </row>
    <row r="39">
      <c r="A39" s="104">
        <v>46050.0</v>
      </c>
      <c r="B39" s="97" t="s">
        <v>41</v>
      </c>
      <c r="C39" s="97">
        <v>8.9268820718E10</v>
      </c>
      <c r="D39" s="97" t="s">
        <v>462</v>
      </c>
    </row>
    <row r="40">
      <c r="A40" s="104">
        <v>46050.0</v>
      </c>
      <c r="B40" s="97" t="s">
        <v>52</v>
      </c>
      <c r="C40" s="97">
        <v>8.9267008686E10</v>
      </c>
      <c r="D40" s="97"/>
    </row>
    <row r="41">
      <c r="A41" s="104">
        <v>46052.0</v>
      </c>
      <c r="B41" s="97" t="s">
        <v>463</v>
      </c>
      <c r="C41" s="97">
        <v>8.9250448821E10</v>
      </c>
      <c r="D41" s="97"/>
    </row>
    <row r="42">
      <c r="A42" s="104">
        <v>46052.0</v>
      </c>
      <c r="B42" s="97" t="s">
        <v>464</v>
      </c>
      <c r="C42" s="97" t="s">
        <v>465</v>
      </c>
      <c r="D42" s="97" t="s">
        <v>462</v>
      </c>
    </row>
    <row r="43">
      <c r="A43" s="104">
        <v>46052.0</v>
      </c>
      <c r="B43" s="97" t="s">
        <v>466</v>
      </c>
      <c r="C43" s="97">
        <v>8.9263579669E10</v>
      </c>
      <c r="D43" s="97"/>
    </row>
    <row r="44">
      <c r="A44" s="104">
        <v>46055.0</v>
      </c>
      <c r="B44" s="97" t="s">
        <v>467</v>
      </c>
      <c r="C44" s="97" t="s">
        <v>468</v>
      </c>
      <c r="D44" s="97"/>
    </row>
    <row r="45">
      <c r="A45" s="104">
        <v>46055.0</v>
      </c>
      <c r="B45" s="97" t="s">
        <v>469</v>
      </c>
      <c r="C45" s="97">
        <v>8.9264073889E10</v>
      </c>
      <c r="D45" s="97"/>
    </row>
    <row r="46">
      <c r="A46" s="104">
        <v>46055.0</v>
      </c>
      <c r="B46" s="97" t="s">
        <v>470</v>
      </c>
      <c r="C46" s="97" t="s">
        <v>471</v>
      </c>
      <c r="D46" s="97"/>
    </row>
    <row r="47">
      <c r="A47" s="104">
        <v>46056.0</v>
      </c>
      <c r="B47" s="97" t="s">
        <v>472</v>
      </c>
      <c r="C47" s="97" t="s">
        <v>473</v>
      </c>
      <c r="D47" s="97" t="s">
        <v>474</v>
      </c>
      <c r="E47" s="11" t="s">
        <v>475</v>
      </c>
    </row>
    <row r="48">
      <c r="A48" s="104">
        <v>46056.0</v>
      </c>
      <c r="B48" s="97" t="s">
        <v>476</v>
      </c>
      <c r="C48" s="95">
        <f>79162706655</f>
        <v>79162706655</v>
      </c>
      <c r="D48" s="97"/>
    </row>
    <row r="49">
      <c r="A49" s="104">
        <v>46056.0</v>
      </c>
      <c r="B49" s="97" t="s">
        <v>477</v>
      </c>
      <c r="C49" s="97">
        <f>79267276901</f>
        <v>79267276901</v>
      </c>
      <c r="D49" s="97"/>
    </row>
    <row r="50">
      <c r="A50" s="104">
        <v>46057.0</v>
      </c>
      <c r="B50" s="97" t="s">
        <v>478</v>
      </c>
      <c r="C50" s="97" t="s">
        <v>479</v>
      </c>
      <c r="D50" s="97"/>
    </row>
    <row r="51">
      <c r="A51" s="104">
        <v>46057.0</v>
      </c>
      <c r="B51" s="97" t="s">
        <v>480</v>
      </c>
      <c r="C51" s="97" t="s">
        <v>481</v>
      </c>
      <c r="D51" s="97"/>
    </row>
    <row r="52">
      <c r="A52" s="104">
        <v>46057.0</v>
      </c>
      <c r="B52" s="97" t="s">
        <v>480</v>
      </c>
      <c r="C52" s="97" t="s">
        <v>482</v>
      </c>
      <c r="D52" s="97"/>
    </row>
    <row r="53">
      <c r="A53" s="104">
        <v>46058.0</v>
      </c>
      <c r="B53" s="97" t="s">
        <v>177</v>
      </c>
      <c r="C53" s="95">
        <f>79254818124</f>
        <v>79254818124</v>
      </c>
      <c r="D53" s="97"/>
    </row>
    <row r="54">
      <c r="A54" s="104">
        <v>46058.0</v>
      </c>
      <c r="B54" s="97" t="s">
        <v>483</v>
      </c>
      <c r="C54" s="95">
        <f>79264761531</f>
        <v>79264761531</v>
      </c>
      <c r="D54" s="97"/>
    </row>
    <row r="55">
      <c r="A55" s="104">
        <v>46058.0</v>
      </c>
      <c r="B55" s="97" t="s">
        <v>484</v>
      </c>
      <c r="C55" s="95">
        <f>79035877449</f>
        <v>79035877449</v>
      </c>
      <c r="D55" s="97"/>
    </row>
    <row r="56">
      <c r="A56" s="104">
        <v>46059.0</v>
      </c>
      <c r="B56" s="97" t="s">
        <v>485</v>
      </c>
      <c r="C56" s="97">
        <v>8.9646300481E10</v>
      </c>
      <c r="D56" s="97"/>
    </row>
    <row r="57">
      <c r="A57" s="104">
        <v>46059.0</v>
      </c>
      <c r="B57" s="97" t="s">
        <v>486</v>
      </c>
      <c r="C57" s="97">
        <v>8.916687445E10</v>
      </c>
      <c r="D57" s="97"/>
    </row>
    <row r="58">
      <c r="A58" s="104">
        <v>46059.0</v>
      </c>
      <c r="B58" s="97" t="s">
        <v>18</v>
      </c>
      <c r="C58" s="97">
        <v>8.9262359942E10</v>
      </c>
      <c r="D58" s="97"/>
    </row>
    <row r="59">
      <c r="A59" s="104">
        <v>46059.0</v>
      </c>
      <c r="B59" s="97" t="s">
        <v>447</v>
      </c>
      <c r="C59" s="97">
        <v>7.9031118469E10</v>
      </c>
      <c r="D59" s="97"/>
    </row>
    <row r="60">
      <c r="A60" s="104">
        <v>46062.0</v>
      </c>
      <c r="B60" s="97" t="s">
        <v>178</v>
      </c>
      <c r="C60" s="97">
        <v>8.9296406863E10</v>
      </c>
      <c r="D60" s="97"/>
    </row>
    <row r="61">
      <c r="A61" s="104">
        <v>46062.0</v>
      </c>
      <c r="B61" s="97" t="s">
        <v>487</v>
      </c>
      <c r="C61" s="97">
        <v>8.9017870505E10</v>
      </c>
      <c r="D61" s="97"/>
    </row>
    <row r="62">
      <c r="A62" s="104">
        <v>46062.0</v>
      </c>
      <c r="B62" s="97" t="s">
        <v>488</v>
      </c>
      <c r="C62" s="97">
        <v>8.97710736E10</v>
      </c>
      <c r="D62" s="97"/>
    </row>
    <row r="63">
      <c r="A63" s="104">
        <v>46064.0</v>
      </c>
      <c r="B63" s="97" t="s">
        <v>117</v>
      </c>
      <c r="C63" s="97">
        <v>7.9263787846E10</v>
      </c>
      <c r="D63" s="97"/>
    </row>
    <row r="64">
      <c r="A64" s="104">
        <v>46064.0</v>
      </c>
      <c r="B64" s="97" t="s">
        <v>147</v>
      </c>
      <c r="C64" s="97">
        <v>8.9523120231E10</v>
      </c>
      <c r="D64" s="97"/>
    </row>
    <row r="65">
      <c r="A65" s="104">
        <v>46064.0</v>
      </c>
      <c r="B65" s="97" t="s">
        <v>489</v>
      </c>
      <c r="C65" s="97">
        <v>8.9295676736E10</v>
      </c>
      <c r="D65" s="97"/>
    </row>
    <row r="66">
      <c r="A66" s="104">
        <v>46066.0</v>
      </c>
      <c r="B66" s="97" t="s">
        <v>107</v>
      </c>
      <c r="C66" s="97">
        <v>8.9851759291E10</v>
      </c>
      <c r="D66" s="97"/>
    </row>
    <row r="67">
      <c r="A67" s="104">
        <v>46066.0</v>
      </c>
      <c r="B67" s="97" t="s">
        <v>204</v>
      </c>
      <c r="C67" s="97">
        <v>8.9966268848E10</v>
      </c>
      <c r="D67" s="97"/>
    </row>
    <row r="68">
      <c r="A68" s="104">
        <v>46066.0</v>
      </c>
      <c r="B68" s="97" t="s">
        <v>490</v>
      </c>
      <c r="C68" s="97">
        <v>8.9503362422E10</v>
      </c>
      <c r="D68" s="97"/>
    </row>
    <row r="69">
      <c r="A69" s="104">
        <v>46069.0</v>
      </c>
      <c r="B69" s="97" t="s">
        <v>181</v>
      </c>
      <c r="C69" s="97" t="s">
        <v>491</v>
      </c>
      <c r="D69" s="97"/>
    </row>
    <row r="70">
      <c r="A70" s="104">
        <v>46069.0</v>
      </c>
      <c r="B70" s="97" t="s">
        <v>31</v>
      </c>
      <c r="C70" s="97">
        <v>8.9167931099E10</v>
      </c>
      <c r="D70" s="97"/>
    </row>
    <row r="71">
      <c r="A71" s="104">
        <v>46069.0</v>
      </c>
      <c r="B71" s="97" t="s">
        <v>492</v>
      </c>
      <c r="C71" s="97">
        <v>8.9690620875E10</v>
      </c>
      <c r="D71" s="97"/>
    </row>
    <row r="72">
      <c r="A72" s="104">
        <v>46071.0</v>
      </c>
      <c r="B72" s="97" t="s">
        <v>493</v>
      </c>
      <c r="C72" s="97" t="s">
        <v>494</v>
      </c>
      <c r="D72" s="97"/>
    </row>
    <row r="73">
      <c r="A73" s="104">
        <v>46071.0</v>
      </c>
      <c r="B73" s="97" t="s">
        <v>493</v>
      </c>
      <c r="C73" s="97" t="s">
        <v>495</v>
      </c>
      <c r="D73" s="97"/>
    </row>
    <row r="74">
      <c r="A74" s="104">
        <v>46071.0</v>
      </c>
      <c r="B74" s="97" t="s">
        <v>493</v>
      </c>
      <c r="C74" s="97" t="s">
        <v>496</v>
      </c>
      <c r="D74" s="97"/>
    </row>
    <row r="75">
      <c r="A75" s="104">
        <v>46073.0</v>
      </c>
      <c r="B75" s="97" t="s">
        <v>497</v>
      </c>
      <c r="C75" s="97" t="s">
        <v>498</v>
      </c>
      <c r="D75" s="97"/>
    </row>
    <row r="76">
      <c r="A76" s="106">
        <v>46073.0</v>
      </c>
      <c r="B76" s="97" t="s">
        <v>499</v>
      </c>
      <c r="C76" s="5">
        <v>8.9689023151E10</v>
      </c>
      <c r="D76" s="97"/>
    </row>
    <row r="77">
      <c r="A77" s="106">
        <v>46073.0</v>
      </c>
      <c r="B77" s="97" t="s">
        <v>500</v>
      </c>
      <c r="C77" s="97">
        <v>8.9267275807E10</v>
      </c>
      <c r="D77" s="97"/>
    </row>
    <row r="78">
      <c r="A78" s="104">
        <v>46074.0</v>
      </c>
      <c r="B78" s="97" t="s">
        <v>501</v>
      </c>
      <c r="C78" s="97">
        <v>8.9154329181E10</v>
      </c>
      <c r="D78" s="97"/>
      <c r="E78" s="11" t="s">
        <v>502</v>
      </c>
    </row>
    <row r="79">
      <c r="A79" s="104">
        <v>46074.0</v>
      </c>
      <c r="B79" s="97" t="s">
        <v>503</v>
      </c>
      <c r="C79" s="97">
        <v>8.9039391795E10</v>
      </c>
      <c r="D79" s="97"/>
    </row>
    <row r="80">
      <c r="A80" s="104">
        <v>46074.0</v>
      </c>
      <c r="B80" s="97" t="s">
        <v>504</v>
      </c>
      <c r="C80" s="97">
        <v>7.9999829849E10</v>
      </c>
      <c r="D80" s="97"/>
      <c r="E80" s="11" t="s">
        <v>505</v>
      </c>
    </row>
    <row r="81">
      <c r="A81" s="104">
        <v>46078.0</v>
      </c>
      <c r="B81" s="97" t="s">
        <v>506</v>
      </c>
      <c r="C81" s="97">
        <v>8.9057944794E10</v>
      </c>
      <c r="D81" s="97"/>
    </row>
    <row r="82">
      <c r="A82" s="104">
        <v>46078.0</v>
      </c>
      <c r="B82" s="97" t="s">
        <v>507</v>
      </c>
      <c r="C82" s="97">
        <v>8.9254823878E10</v>
      </c>
      <c r="D82" s="97"/>
    </row>
    <row r="83">
      <c r="A83" s="104">
        <v>46078.0</v>
      </c>
      <c r="B83" s="97" t="s">
        <v>508</v>
      </c>
      <c r="C83" s="97">
        <v>8.9165557378E10</v>
      </c>
      <c r="D83" s="97"/>
    </row>
    <row r="84">
      <c r="A84" s="104">
        <v>46083.0</v>
      </c>
      <c r="B84" s="97" t="s">
        <v>38</v>
      </c>
      <c r="C84" s="97">
        <v>8.9162873411E10</v>
      </c>
      <c r="D84" s="97"/>
    </row>
    <row r="85">
      <c r="A85" s="104">
        <v>46083.0</v>
      </c>
      <c r="B85" s="97" t="s">
        <v>509</v>
      </c>
      <c r="C85" s="97">
        <v>8.9031519799E10</v>
      </c>
      <c r="D85" s="97"/>
    </row>
    <row r="86">
      <c r="A86" s="104">
        <v>46083.0</v>
      </c>
      <c r="B86" s="97" t="s">
        <v>510</v>
      </c>
      <c r="C86" s="97">
        <v>8.9015566936E10</v>
      </c>
      <c r="D86" s="97"/>
    </row>
    <row r="87">
      <c r="A87" s="104">
        <v>46085.0</v>
      </c>
      <c r="B87" s="97" t="s">
        <v>74</v>
      </c>
      <c r="C87" s="97">
        <v>8.906091659E10</v>
      </c>
      <c r="D87" s="97"/>
    </row>
    <row r="88">
      <c r="A88" s="104">
        <v>46085.0</v>
      </c>
      <c r="B88" s="97" t="s">
        <v>511</v>
      </c>
      <c r="C88" s="97">
        <v>8.9261661295E10</v>
      </c>
      <c r="D88" s="97"/>
    </row>
    <row r="89">
      <c r="A89" s="104">
        <v>46085.0</v>
      </c>
      <c r="B89" s="97" t="s">
        <v>132</v>
      </c>
      <c r="C89" s="97">
        <v>8.9152758102E10</v>
      </c>
      <c r="D89" s="97"/>
    </row>
    <row r="90">
      <c r="A90" s="104">
        <v>46099.0</v>
      </c>
      <c r="B90" s="97" t="s">
        <v>107</v>
      </c>
      <c r="C90" s="97" t="s">
        <v>512</v>
      </c>
      <c r="D90" s="103"/>
    </row>
    <row r="91">
      <c r="A91" s="104">
        <v>46099.0</v>
      </c>
      <c r="B91" s="97" t="s">
        <v>470</v>
      </c>
      <c r="C91" s="97" t="s">
        <v>513</v>
      </c>
      <c r="D91" s="103"/>
    </row>
    <row r="92">
      <c r="A92" s="104">
        <v>46099.0</v>
      </c>
      <c r="B92" s="97" t="s">
        <v>514</v>
      </c>
      <c r="C92" s="95">
        <f>79258000076</f>
        <v>79258000076</v>
      </c>
      <c r="D92" s="103"/>
    </row>
    <row r="93">
      <c r="A93" s="104">
        <v>46107.0</v>
      </c>
      <c r="B93" s="97" t="s">
        <v>187</v>
      </c>
      <c r="C93" s="95">
        <f>79045197626</f>
        <v>79045197626</v>
      </c>
      <c r="D93" s="103"/>
    </row>
    <row r="94">
      <c r="A94" s="104">
        <v>46107.0</v>
      </c>
      <c r="B94" s="97" t="s">
        <v>515</v>
      </c>
      <c r="C94" s="95">
        <f>79036888968</f>
        <v>79036888968</v>
      </c>
      <c r="D94" s="103"/>
    </row>
    <row r="95">
      <c r="A95" s="104">
        <v>46108.0</v>
      </c>
      <c r="B95" s="97" t="s">
        <v>178</v>
      </c>
      <c r="C95" s="97" t="s">
        <v>516</v>
      </c>
      <c r="D95" s="103"/>
    </row>
    <row r="96">
      <c r="A96" s="104">
        <v>46108.0</v>
      </c>
      <c r="B96" s="97" t="s">
        <v>107</v>
      </c>
      <c r="C96" s="107" t="s">
        <v>517</v>
      </c>
      <c r="D96" s="103"/>
    </row>
    <row r="97">
      <c r="A97" s="104">
        <v>46108.0</v>
      </c>
      <c r="B97" s="97" t="s">
        <v>518</v>
      </c>
      <c r="C97" s="97" t="s">
        <v>519</v>
      </c>
      <c r="D97" s="103"/>
    </row>
    <row r="98">
      <c r="A98" s="95"/>
      <c r="B98" s="95"/>
      <c r="C98" s="95"/>
      <c r="D98" s="103"/>
    </row>
    <row r="99">
      <c r="A99" s="95"/>
      <c r="B99" s="95"/>
      <c r="C99" s="95"/>
      <c r="D99" s="103"/>
    </row>
    <row r="100">
      <c r="A100" s="95"/>
      <c r="B100" s="95"/>
      <c r="C100" s="95"/>
      <c r="D100" s="103"/>
    </row>
    <row r="101">
      <c r="A101" s="95"/>
      <c r="B101" s="95"/>
      <c r="C101" s="95"/>
      <c r="D101" s="103"/>
    </row>
    <row r="102">
      <c r="A102" s="95"/>
      <c r="B102" s="95"/>
      <c r="C102" s="95"/>
      <c r="D102" s="103"/>
    </row>
    <row r="103">
      <c r="A103" s="95"/>
      <c r="B103" s="95"/>
      <c r="C103" s="95"/>
      <c r="D103" s="103"/>
    </row>
    <row r="104">
      <c r="A104" s="95"/>
      <c r="B104" s="95"/>
      <c r="C104" s="95"/>
      <c r="D104" s="103"/>
    </row>
    <row r="105">
      <c r="A105" s="95"/>
      <c r="B105" s="95"/>
      <c r="C105" s="95"/>
      <c r="D105" s="103"/>
    </row>
    <row r="106">
      <c r="A106" s="95"/>
      <c r="B106" s="95"/>
      <c r="C106" s="95"/>
      <c r="D106" s="103"/>
    </row>
    <row r="107">
      <c r="A107" s="95"/>
      <c r="B107" s="95"/>
      <c r="C107" s="95"/>
      <c r="D107" s="103"/>
    </row>
    <row r="108">
      <c r="A108" s="95"/>
      <c r="B108" s="95"/>
      <c r="C108" s="95"/>
      <c r="D108" s="103"/>
    </row>
    <row r="109">
      <c r="A109" s="95"/>
      <c r="B109" s="95"/>
      <c r="C109" s="95"/>
      <c r="D109" s="103"/>
    </row>
    <row r="110">
      <c r="A110" s="95"/>
      <c r="B110" s="95"/>
      <c r="C110" s="95"/>
      <c r="D110" s="103"/>
    </row>
    <row r="111">
      <c r="A111" s="95"/>
      <c r="B111" s="95"/>
      <c r="C111" s="95"/>
      <c r="D111" s="103"/>
    </row>
    <row r="112">
      <c r="A112" s="95"/>
      <c r="B112" s="95"/>
      <c r="C112" s="95"/>
      <c r="D112" s="103"/>
    </row>
    <row r="113">
      <c r="A113" s="95"/>
      <c r="B113" s="95"/>
      <c r="C113" s="95"/>
      <c r="D113" s="103"/>
    </row>
    <row r="114">
      <c r="A114" s="95"/>
      <c r="B114" s="95"/>
      <c r="C114" s="95"/>
      <c r="D114" s="103"/>
    </row>
    <row r="115">
      <c r="A115" s="95"/>
      <c r="B115" s="95"/>
      <c r="C115" s="95"/>
      <c r="D115" s="103"/>
    </row>
    <row r="116">
      <c r="A116" s="95"/>
      <c r="B116" s="95"/>
      <c r="C116" s="95"/>
      <c r="D116" s="103"/>
    </row>
    <row r="117">
      <c r="A117" s="95"/>
      <c r="B117" s="95"/>
      <c r="C117" s="95"/>
      <c r="D117" s="103"/>
    </row>
    <row r="118">
      <c r="A118" s="95"/>
      <c r="B118" s="95"/>
      <c r="C118" s="95"/>
      <c r="D118" s="103"/>
    </row>
    <row r="119">
      <c r="A119" s="95"/>
      <c r="B119" s="95"/>
      <c r="C119" s="95"/>
      <c r="D119" s="103"/>
    </row>
    <row r="120">
      <c r="A120" s="95"/>
      <c r="B120" s="95"/>
      <c r="C120" s="95"/>
      <c r="D120" s="103"/>
    </row>
    <row r="121">
      <c r="A121" s="95"/>
      <c r="B121" s="95"/>
      <c r="C121" s="95"/>
      <c r="D121" s="103"/>
    </row>
    <row r="122">
      <c r="A122" s="95"/>
      <c r="B122" s="95"/>
      <c r="C122" s="95"/>
      <c r="D122" s="103"/>
    </row>
    <row r="123">
      <c r="A123" s="95"/>
      <c r="B123" s="95"/>
      <c r="C123" s="95"/>
      <c r="D123" s="103"/>
    </row>
    <row r="124">
      <c r="A124" s="95"/>
      <c r="B124" s="95"/>
      <c r="C124" s="95"/>
      <c r="D124" s="103"/>
    </row>
    <row r="125">
      <c r="A125" s="95"/>
      <c r="B125" s="95"/>
      <c r="C125" s="95"/>
      <c r="D125" s="103"/>
    </row>
    <row r="126">
      <c r="A126" s="95"/>
      <c r="B126" s="95"/>
      <c r="C126" s="95"/>
      <c r="D126" s="103"/>
    </row>
    <row r="127">
      <c r="A127" s="95"/>
      <c r="B127" s="95"/>
      <c r="C127" s="95"/>
      <c r="D127" s="103"/>
    </row>
    <row r="128">
      <c r="A128" s="95"/>
      <c r="B128" s="95"/>
      <c r="C128" s="95"/>
      <c r="D128" s="103"/>
    </row>
    <row r="129">
      <c r="A129" s="95"/>
      <c r="B129" s="95"/>
      <c r="C129" s="95"/>
      <c r="D129" s="103"/>
    </row>
    <row r="130">
      <c r="A130" s="95"/>
      <c r="B130" s="95"/>
      <c r="C130" s="95"/>
      <c r="D130" s="103"/>
    </row>
    <row r="131">
      <c r="A131" s="95"/>
      <c r="B131" s="95"/>
      <c r="C131" s="95"/>
      <c r="D131" s="103"/>
    </row>
    <row r="132">
      <c r="A132" s="95"/>
      <c r="B132" s="95"/>
      <c r="C132" s="95"/>
      <c r="D132" s="103"/>
    </row>
    <row r="133">
      <c r="A133" s="95"/>
      <c r="B133" s="95"/>
      <c r="C133" s="95"/>
      <c r="D133" s="103"/>
    </row>
    <row r="134">
      <c r="A134" s="95"/>
      <c r="B134" s="95"/>
      <c r="C134" s="95"/>
      <c r="D134" s="103"/>
    </row>
    <row r="135">
      <c r="A135" s="95"/>
      <c r="B135" s="95"/>
      <c r="C135" s="95"/>
      <c r="D135" s="103"/>
    </row>
    <row r="136">
      <c r="A136" s="108"/>
      <c r="B136" s="108"/>
      <c r="C136" s="108"/>
    </row>
    <row r="137">
      <c r="A137" s="108"/>
      <c r="B137" s="108"/>
      <c r="C137" s="108"/>
    </row>
    <row r="138">
      <c r="A138" s="108"/>
      <c r="B138" s="108"/>
      <c r="C138" s="108"/>
    </row>
    <row r="139">
      <c r="A139" s="108"/>
      <c r="B139" s="108"/>
      <c r="C139" s="108"/>
    </row>
    <row r="140">
      <c r="A140" s="108"/>
      <c r="B140" s="108"/>
      <c r="C140" s="108"/>
    </row>
    <row r="141">
      <c r="A141" s="108"/>
      <c r="B141" s="108"/>
      <c r="C141" s="108"/>
    </row>
    <row r="142">
      <c r="A142" s="108"/>
      <c r="B142" s="108"/>
      <c r="C142" s="108"/>
    </row>
    <row r="143">
      <c r="A143" s="108"/>
      <c r="B143" s="108"/>
      <c r="C143" s="108"/>
    </row>
    <row r="144">
      <c r="A144" s="108"/>
      <c r="B144" s="108"/>
      <c r="C144" s="108"/>
    </row>
    <row r="145">
      <c r="A145" s="108"/>
      <c r="B145" s="108"/>
      <c r="C145" s="108"/>
    </row>
    <row r="146">
      <c r="A146" s="108"/>
      <c r="B146" s="108"/>
      <c r="C146" s="108"/>
    </row>
    <row r="147">
      <c r="A147" s="108"/>
      <c r="B147" s="108"/>
      <c r="C147" s="108"/>
    </row>
    <row r="148">
      <c r="A148" s="108"/>
      <c r="B148" s="108"/>
      <c r="C148" s="108"/>
    </row>
    <row r="149">
      <c r="A149" s="108"/>
      <c r="B149" s="108"/>
      <c r="C149" s="108"/>
    </row>
    <row r="150">
      <c r="A150" s="108"/>
      <c r="B150" s="108"/>
      <c r="C150" s="108"/>
    </row>
    <row r="151">
      <c r="A151" s="108"/>
      <c r="B151" s="108"/>
      <c r="C151" s="108"/>
    </row>
    <row r="152">
      <c r="A152" s="108"/>
      <c r="B152" s="108"/>
      <c r="C152" s="108"/>
    </row>
    <row r="153">
      <c r="A153" s="108"/>
      <c r="B153" s="108"/>
      <c r="C153" s="108"/>
    </row>
    <row r="154">
      <c r="A154" s="108"/>
      <c r="B154" s="108"/>
      <c r="C154" s="108"/>
    </row>
    <row r="155">
      <c r="A155" s="108"/>
      <c r="B155" s="108"/>
      <c r="C155" s="108"/>
    </row>
    <row r="156">
      <c r="A156" s="108"/>
      <c r="B156" s="108"/>
      <c r="C156" s="108"/>
    </row>
    <row r="157">
      <c r="A157" s="108"/>
      <c r="B157" s="108"/>
      <c r="C157" s="108"/>
    </row>
    <row r="158">
      <c r="A158" s="108"/>
      <c r="B158" s="108"/>
      <c r="C158" s="108"/>
    </row>
    <row r="159">
      <c r="A159" s="108"/>
      <c r="B159" s="108"/>
      <c r="C159" s="108"/>
    </row>
    <row r="160">
      <c r="A160" s="108"/>
      <c r="B160" s="108"/>
      <c r="C160" s="108"/>
    </row>
    <row r="161">
      <c r="A161" s="108"/>
      <c r="B161" s="108"/>
      <c r="C161" s="108"/>
    </row>
    <row r="162">
      <c r="A162" s="108"/>
      <c r="B162" s="108"/>
      <c r="C162" s="108"/>
    </row>
    <row r="163">
      <c r="A163" s="108"/>
      <c r="B163" s="108"/>
      <c r="C163" s="108"/>
    </row>
    <row r="164">
      <c r="A164" s="108"/>
      <c r="B164" s="108"/>
      <c r="C164" s="108"/>
    </row>
    <row r="165">
      <c r="A165" s="108"/>
      <c r="B165" s="108"/>
      <c r="C165" s="108"/>
    </row>
    <row r="166">
      <c r="A166" s="108"/>
      <c r="B166" s="108"/>
      <c r="C166" s="108"/>
    </row>
    <row r="167">
      <c r="A167" s="108"/>
      <c r="B167" s="108"/>
      <c r="C167" s="108"/>
    </row>
    <row r="168">
      <c r="A168" s="108"/>
      <c r="B168" s="108"/>
      <c r="C168" s="108"/>
    </row>
    <row r="169">
      <c r="A169" s="108"/>
      <c r="B169" s="108"/>
      <c r="C169" s="108"/>
    </row>
    <row r="170">
      <c r="A170" s="108"/>
      <c r="B170" s="108"/>
      <c r="C170" s="108"/>
    </row>
    <row r="171">
      <c r="A171" s="108"/>
      <c r="B171" s="108"/>
      <c r="C171" s="108"/>
    </row>
    <row r="172">
      <c r="A172" s="108"/>
      <c r="B172" s="108"/>
      <c r="C172" s="108"/>
    </row>
    <row r="173">
      <c r="A173" s="108"/>
      <c r="B173" s="108"/>
      <c r="C173" s="108"/>
    </row>
    <row r="174">
      <c r="A174" s="108"/>
      <c r="B174" s="108"/>
      <c r="C174" s="108"/>
    </row>
    <row r="175">
      <c r="A175" s="108"/>
      <c r="B175" s="108"/>
      <c r="C175" s="108"/>
    </row>
    <row r="176">
      <c r="A176" s="108"/>
      <c r="B176" s="108"/>
      <c r="C176" s="108"/>
    </row>
    <row r="177">
      <c r="A177" s="108"/>
      <c r="B177" s="108"/>
      <c r="C177" s="108"/>
    </row>
    <row r="178">
      <c r="A178" s="108"/>
      <c r="B178" s="108"/>
      <c r="C178" s="108"/>
    </row>
    <row r="179">
      <c r="A179" s="108"/>
      <c r="B179" s="108"/>
      <c r="C179" s="108"/>
    </row>
    <row r="180">
      <c r="A180" s="108"/>
      <c r="B180" s="108"/>
      <c r="C180" s="108"/>
    </row>
    <row r="181">
      <c r="A181" s="108"/>
      <c r="B181" s="108"/>
      <c r="C181" s="108"/>
    </row>
    <row r="182">
      <c r="A182" s="108"/>
      <c r="B182" s="108"/>
      <c r="C182" s="108"/>
    </row>
    <row r="183">
      <c r="A183" s="108"/>
      <c r="B183" s="108"/>
      <c r="C183" s="108"/>
    </row>
    <row r="184">
      <c r="A184" s="108"/>
      <c r="B184" s="108"/>
      <c r="C184" s="108"/>
    </row>
    <row r="185">
      <c r="A185" s="108"/>
      <c r="B185" s="108"/>
      <c r="C185" s="108"/>
    </row>
    <row r="186">
      <c r="A186" s="108"/>
      <c r="B186" s="108"/>
      <c r="C186" s="108"/>
    </row>
    <row r="187">
      <c r="A187" s="108"/>
      <c r="B187" s="108"/>
      <c r="C187" s="108"/>
    </row>
    <row r="188">
      <c r="A188" s="108"/>
      <c r="B188" s="108"/>
      <c r="C188" s="108"/>
    </row>
    <row r="189">
      <c r="A189" s="108"/>
      <c r="B189" s="108"/>
      <c r="C189" s="108"/>
    </row>
    <row r="190">
      <c r="A190" s="108"/>
      <c r="B190" s="108"/>
      <c r="C190" s="108"/>
    </row>
    <row r="191">
      <c r="A191" s="108"/>
      <c r="B191" s="108"/>
      <c r="C191" s="108"/>
    </row>
    <row r="192">
      <c r="A192" s="108"/>
      <c r="B192" s="108"/>
      <c r="C192" s="108"/>
    </row>
    <row r="193">
      <c r="A193" s="108"/>
      <c r="B193" s="108"/>
      <c r="C193" s="108"/>
    </row>
    <row r="194">
      <c r="A194" s="108"/>
      <c r="B194" s="108"/>
      <c r="C194" s="108"/>
    </row>
    <row r="195">
      <c r="A195" s="108"/>
      <c r="B195" s="108"/>
      <c r="C195" s="108"/>
    </row>
    <row r="196">
      <c r="A196" s="108"/>
      <c r="B196" s="108"/>
      <c r="C196" s="108"/>
    </row>
    <row r="197">
      <c r="A197" s="108"/>
      <c r="B197" s="108"/>
      <c r="C197" s="108"/>
    </row>
    <row r="198">
      <c r="A198" s="108"/>
      <c r="B198" s="108"/>
      <c r="C198" s="108"/>
    </row>
    <row r="199">
      <c r="A199" s="108"/>
      <c r="B199" s="108"/>
      <c r="C199" s="108"/>
    </row>
    <row r="200">
      <c r="A200" s="108"/>
      <c r="B200" s="108"/>
      <c r="C200" s="108"/>
    </row>
    <row r="201">
      <c r="A201" s="108"/>
      <c r="B201" s="108"/>
      <c r="C201" s="108"/>
    </row>
    <row r="202">
      <c r="A202" s="108"/>
      <c r="B202" s="108"/>
      <c r="C202" s="108"/>
    </row>
    <row r="203">
      <c r="A203" s="108"/>
      <c r="B203" s="108"/>
      <c r="C203" s="108"/>
    </row>
    <row r="204">
      <c r="A204" s="108"/>
      <c r="B204" s="108"/>
      <c r="C204" s="108"/>
    </row>
    <row r="205">
      <c r="A205" s="108"/>
      <c r="B205" s="108"/>
      <c r="C205" s="108"/>
    </row>
    <row r="206">
      <c r="A206" s="108"/>
      <c r="B206" s="108"/>
      <c r="C206" s="108"/>
    </row>
    <row r="207">
      <c r="A207" s="108"/>
      <c r="B207" s="108"/>
      <c r="C207" s="108"/>
    </row>
    <row r="208">
      <c r="A208" s="108"/>
      <c r="B208" s="108"/>
      <c r="C208" s="108"/>
    </row>
    <row r="209">
      <c r="A209" s="108"/>
      <c r="B209" s="108"/>
      <c r="C209" s="108"/>
    </row>
    <row r="210">
      <c r="A210" s="108"/>
      <c r="B210" s="108"/>
      <c r="C210" s="108"/>
    </row>
    <row r="211">
      <c r="A211" s="108"/>
      <c r="B211" s="108"/>
      <c r="C211" s="108"/>
    </row>
    <row r="212">
      <c r="A212" s="108"/>
      <c r="B212" s="108"/>
      <c r="C212" s="108"/>
    </row>
    <row r="213">
      <c r="A213" s="108"/>
      <c r="B213" s="108"/>
      <c r="C213" s="108"/>
    </row>
    <row r="214">
      <c r="A214" s="108"/>
      <c r="B214" s="108"/>
      <c r="C214" s="108"/>
    </row>
    <row r="215">
      <c r="A215" s="108"/>
      <c r="B215" s="108"/>
      <c r="C215" s="108"/>
    </row>
    <row r="216">
      <c r="A216" s="108"/>
      <c r="B216" s="108"/>
      <c r="C216" s="108"/>
    </row>
    <row r="217">
      <c r="A217" s="108"/>
      <c r="B217" s="108"/>
      <c r="C217" s="108"/>
    </row>
    <row r="218">
      <c r="A218" s="108"/>
      <c r="B218" s="108"/>
      <c r="C218" s="108"/>
    </row>
    <row r="219">
      <c r="A219" s="108"/>
      <c r="B219" s="108"/>
      <c r="C219" s="108"/>
    </row>
    <row r="220">
      <c r="A220" s="108"/>
      <c r="B220" s="108"/>
      <c r="C220" s="108"/>
    </row>
    <row r="221">
      <c r="A221" s="108"/>
      <c r="B221" s="108"/>
      <c r="C221" s="108"/>
    </row>
    <row r="222">
      <c r="A222" s="108"/>
      <c r="B222" s="108"/>
      <c r="C222" s="108"/>
    </row>
    <row r="223">
      <c r="A223" s="108"/>
      <c r="B223" s="108"/>
      <c r="C223" s="108"/>
    </row>
    <row r="224">
      <c r="A224" s="108"/>
      <c r="B224" s="108"/>
      <c r="C224" s="108"/>
    </row>
    <row r="225">
      <c r="A225" s="108"/>
      <c r="B225" s="108"/>
      <c r="C225" s="108"/>
    </row>
    <row r="226">
      <c r="A226" s="108"/>
      <c r="B226" s="108"/>
      <c r="C226" s="108"/>
    </row>
    <row r="227">
      <c r="A227" s="108"/>
      <c r="B227" s="108"/>
      <c r="C227" s="108"/>
    </row>
    <row r="228">
      <c r="A228" s="108"/>
      <c r="B228" s="108"/>
      <c r="C228" s="108"/>
    </row>
    <row r="229">
      <c r="A229" s="108"/>
      <c r="B229" s="108"/>
      <c r="C229" s="108"/>
    </row>
    <row r="230">
      <c r="A230" s="108"/>
      <c r="B230" s="108"/>
      <c r="C230" s="108"/>
    </row>
    <row r="231">
      <c r="A231" s="108"/>
      <c r="B231" s="108"/>
      <c r="C231" s="108"/>
    </row>
    <row r="232">
      <c r="A232" s="108"/>
      <c r="B232" s="108"/>
      <c r="C232" s="108"/>
    </row>
    <row r="233">
      <c r="A233" s="108"/>
      <c r="B233" s="108"/>
      <c r="C233" s="108"/>
    </row>
    <row r="234">
      <c r="A234" s="108"/>
      <c r="B234" s="108"/>
      <c r="C234" s="108"/>
    </row>
    <row r="235">
      <c r="A235" s="108"/>
      <c r="B235" s="108"/>
      <c r="C235" s="108"/>
    </row>
    <row r="236">
      <c r="A236" s="108"/>
      <c r="B236" s="108"/>
      <c r="C236" s="108"/>
    </row>
    <row r="237">
      <c r="A237" s="108"/>
      <c r="B237" s="108"/>
      <c r="C237" s="108"/>
    </row>
    <row r="238">
      <c r="A238" s="108"/>
      <c r="B238" s="108"/>
      <c r="C238" s="108"/>
    </row>
    <row r="239">
      <c r="A239" s="108"/>
      <c r="B239" s="108"/>
      <c r="C239" s="108"/>
    </row>
    <row r="240">
      <c r="A240" s="108"/>
      <c r="B240" s="108"/>
      <c r="C240" s="108"/>
    </row>
    <row r="241">
      <c r="A241" s="108"/>
      <c r="B241" s="108"/>
      <c r="C241" s="108"/>
    </row>
    <row r="242">
      <c r="A242" s="108"/>
      <c r="B242" s="108"/>
      <c r="C242" s="108"/>
    </row>
    <row r="243">
      <c r="A243" s="108"/>
      <c r="B243" s="108"/>
      <c r="C243" s="108"/>
    </row>
    <row r="244">
      <c r="A244" s="108"/>
      <c r="B244" s="108"/>
      <c r="C244" s="108"/>
    </row>
    <row r="245">
      <c r="A245" s="108"/>
      <c r="B245" s="108"/>
      <c r="C245" s="108"/>
    </row>
    <row r="246">
      <c r="A246" s="108"/>
      <c r="B246" s="108"/>
      <c r="C246" s="108"/>
    </row>
    <row r="247">
      <c r="A247" s="108"/>
      <c r="B247" s="108"/>
      <c r="C247" s="108"/>
    </row>
    <row r="248">
      <c r="A248" s="108"/>
      <c r="B248" s="108"/>
      <c r="C248" s="108"/>
    </row>
    <row r="249">
      <c r="A249" s="108"/>
      <c r="B249" s="108"/>
      <c r="C249" s="108"/>
    </row>
    <row r="250">
      <c r="A250" s="108"/>
      <c r="B250" s="108"/>
      <c r="C250" s="108"/>
    </row>
    <row r="251">
      <c r="A251" s="108"/>
      <c r="B251" s="108"/>
      <c r="C251" s="108"/>
    </row>
    <row r="252">
      <c r="A252" s="108"/>
      <c r="B252" s="108"/>
      <c r="C252" s="108"/>
    </row>
    <row r="253">
      <c r="A253" s="108"/>
      <c r="B253" s="108"/>
      <c r="C253" s="108"/>
    </row>
    <row r="254">
      <c r="A254" s="108"/>
      <c r="B254" s="108"/>
      <c r="C254" s="108"/>
    </row>
    <row r="255">
      <c r="A255" s="108"/>
      <c r="B255" s="108"/>
      <c r="C255" s="108"/>
    </row>
    <row r="256">
      <c r="A256" s="108"/>
      <c r="B256" s="108"/>
      <c r="C256" s="108"/>
    </row>
    <row r="257">
      <c r="A257" s="108"/>
      <c r="B257" s="108"/>
      <c r="C257" s="108"/>
    </row>
    <row r="258">
      <c r="A258" s="108"/>
      <c r="B258" s="108"/>
      <c r="C258" s="108"/>
    </row>
    <row r="259">
      <c r="A259" s="108"/>
      <c r="B259" s="108"/>
      <c r="C259" s="108"/>
    </row>
    <row r="260">
      <c r="A260" s="108"/>
      <c r="B260" s="108"/>
      <c r="C260" s="108"/>
    </row>
    <row r="261">
      <c r="A261" s="108"/>
      <c r="B261" s="108"/>
      <c r="C261" s="108"/>
    </row>
    <row r="262">
      <c r="A262" s="108"/>
      <c r="B262" s="108"/>
      <c r="C262" s="108"/>
    </row>
    <row r="263">
      <c r="A263" s="108"/>
      <c r="B263" s="108"/>
      <c r="C263" s="108"/>
    </row>
    <row r="264">
      <c r="A264" s="108"/>
      <c r="B264" s="108"/>
      <c r="C264" s="108"/>
    </row>
    <row r="265">
      <c r="A265" s="108"/>
      <c r="B265" s="108"/>
      <c r="C265" s="108"/>
    </row>
    <row r="266">
      <c r="A266" s="108"/>
      <c r="B266" s="108"/>
      <c r="C266" s="108"/>
    </row>
    <row r="267">
      <c r="A267" s="108"/>
      <c r="B267" s="108"/>
      <c r="C267" s="108"/>
    </row>
    <row r="268">
      <c r="A268" s="108"/>
      <c r="B268" s="108"/>
      <c r="C268" s="108"/>
    </row>
    <row r="269">
      <c r="A269" s="108"/>
      <c r="B269" s="108"/>
      <c r="C269" s="108"/>
    </row>
    <row r="270">
      <c r="A270" s="108"/>
      <c r="B270" s="108"/>
      <c r="C270" s="108"/>
    </row>
    <row r="271">
      <c r="A271" s="108"/>
      <c r="B271" s="108"/>
      <c r="C271" s="108"/>
    </row>
    <row r="272">
      <c r="A272" s="108"/>
      <c r="B272" s="108"/>
      <c r="C272" s="108"/>
    </row>
    <row r="273">
      <c r="A273" s="108"/>
      <c r="B273" s="108"/>
      <c r="C273" s="108"/>
    </row>
    <row r="274">
      <c r="A274" s="108"/>
      <c r="B274" s="108"/>
      <c r="C274" s="108"/>
    </row>
    <row r="275">
      <c r="A275" s="108"/>
      <c r="B275" s="108"/>
      <c r="C275" s="108"/>
    </row>
    <row r="276">
      <c r="A276" s="108"/>
      <c r="B276" s="108"/>
      <c r="C276" s="108"/>
    </row>
    <row r="277">
      <c r="A277" s="108"/>
      <c r="B277" s="108"/>
      <c r="C277" s="108"/>
    </row>
    <row r="278">
      <c r="A278" s="108"/>
      <c r="B278" s="108"/>
      <c r="C278" s="108"/>
    </row>
    <row r="279">
      <c r="A279" s="108"/>
      <c r="B279" s="108"/>
      <c r="C279" s="108"/>
    </row>
    <row r="280">
      <c r="A280" s="108"/>
      <c r="B280" s="108"/>
      <c r="C280" s="108"/>
    </row>
    <row r="281">
      <c r="A281" s="108"/>
      <c r="B281" s="108"/>
      <c r="C281" s="108"/>
    </row>
    <row r="282">
      <c r="A282" s="108"/>
      <c r="B282" s="108"/>
      <c r="C282" s="108"/>
    </row>
    <row r="283">
      <c r="A283" s="108"/>
      <c r="B283" s="108"/>
      <c r="C283" s="108"/>
    </row>
    <row r="284">
      <c r="A284" s="108"/>
      <c r="B284" s="108"/>
      <c r="C284" s="108"/>
    </row>
    <row r="285">
      <c r="A285" s="108"/>
      <c r="B285" s="108"/>
      <c r="C285" s="108"/>
    </row>
    <row r="286">
      <c r="A286" s="108"/>
      <c r="B286" s="108"/>
      <c r="C286" s="108"/>
    </row>
    <row r="287">
      <c r="A287" s="108"/>
      <c r="B287" s="108"/>
      <c r="C287" s="108"/>
    </row>
    <row r="288">
      <c r="A288" s="108"/>
      <c r="B288" s="108"/>
      <c r="C288" s="108"/>
    </row>
    <row r="289">
      <c r="A289" s="108"/>
      <c r="B289" s="108"/>
      <c r="C289" s="108"/>
    </row>
    <row r="290">
      <c r="A290" s="108"/>
      <c r="B290" s="108"/>
      <c r="C290" s="108"/>
    </row>
    <row r="291">
      <c r="A291" s="108"/>
      <c r="B291" s="108"/>
      <c r="C291" s="108"/>
    </row>
    <row r="292">
      <c r="A292" s="108"/>
      <c r="B292" s="108"/>
      <c r="C292" s="108"/>
    </row>
    <row r="293">
      <c r="A293" s="108"/>
      <c r="B293" s="108"/>
      <c r="C293" s="108"/>
    </row>
    <row r="294">
      <c r="A294" s="108"/>
      <c r="B294" s="108"/>
      <c r="C294" s="108"/>
    </row>
    <row r="295">
      <c r="A295" s="108"/>
      <c r="B295" s="108"/>
      <c r="C295" s="108"/>
    </row>
    <row r="296">
      <c r="A296" s="108"/>
      <c r="B296" s="108"/>
      <c r="C296" s="108"/>
    </row>
    <row r="297">
      <c r="A297" s="108"/>
      <c r="B297" s="108"/>
      <c r="C297" s="108"/>
    </row>
    <row r="298">
      <c r="A298" s="108"/>
      <c r="B298" s="108"/>
      <c r="C298" s="108"/>
    </row>
    <row r="299">
      <c r="A299" s="108"/>
      <c r="B299" s="108"/>
      <c r="C299" s="108"/>
    </row>
    <row r="300">
      <c r="A300" s="108"/>
      <c r="B300" s="108"/>
      <c r="C300" s="108"/>
    </row>
    <row r="301">
      <c r="A301" s="108"/>
      <c r="B301" s="108"/>
      <c r="C301" s="108"/>
    </row>
    <row r="302">
      <c r="A302" s="108"/>
      <c r="B302" s="108"/>
      <c r="C302" s="108"/>
    </row>
    <row r="303">
      <c r="A303" s="108"/>
      <c r="B303" s="108"/>
      <c r="C303" s="108"/>
    </row>
    <row r="304">
      <c r="A304" s="108"/>
      <c r="B304" s="108"/>
      <c r="C304" s="108"/>
    </row>
    <row r="305">
      <c r="A305" s="108"/>
      <c r="B305" s="108"/>
      <c r="C305" s="108"/>
    </row>
    <row r="306">
      <c r="A306" s="108"/>
      <c r="B306" s="108"/>
      <c r="C306" s="108"/>
    </row>
    <row r="307">
      <c r="A307" s="108"/>
      <c r="B307" s="108"/>
      <c r="C307" s="108"/>
    </row>
    <row r="308">
      <c r="A308" s="108"/>
      <c r="B308" s="108"/>
      <c r="C308" s="108"/>
    </row>
    <row r="309">
      <c r="A309" s="108"/>
      <c r="B309" s="108"/>
      <c r="C309" s="108"/>
    </row>
    <row r="310">
      <c r="A310" s="108"/>
      <c r="B310" s="108"/>
      <c r="C310" s="108"/>
    </row>
    <row r="311">
      <c r="A311" s="108"/>
      <c r="B311" s="108"/>
      <c r="C311" s="108"/>
    </row>
    <row r="312">
      <c r="A312" s="108"/>
      <c r="B312" s="108"/>
      <c r="C312" s="108"/>
    </row>
    <row r="313">
      <c r="A313" s="108"/>
      <c r="B313" s="108"/>
      <c r="C313" s="108"/>
    </row>
    <row r="314">
      <c r="A314" s="108"/>
      <c r="B314" s="108"/>
      <c r="C314" s="108"/>
    </row>
    <row r="315">
      <c r="A315" s="108"/>
      <c r="B315" s="108"/>
      <c r="C315" s="108"/>
    </row>
    <row r="316">
      <c r="A316" s="108"/>
      <c r="B316" s="108"/>
      <c r="C316" s="108"/>
    </row>
    <row r="317">
      <c r="A317" s="108"/>
      <c r="B317" s="108"/>
      <c r="C317" s="108"/>
    </row>
    <row r="318">
      <c r="A318" s="108"/>
      <c r="B318" s="108"/>
      <c r="C318" s="108"/>
    </row>
    <row r="319">
      <c r="A319" s="108"/>
      <c r="B319" s="108"/>
      <c r="C319" s="108"/>
    </row>
    <row r="320">
      <c r="A320" s="108"/>
      <c r="B320" s="108"/>
      <c r="C320" s="108"/>
    </row>
    <row r="321">
      <c r="A321" s="108"/>
      <c r="B321" s="108"/>
      <c r="C321" s="108"/>
    </row>
    <row r="322">
      <c r="A322" s="108"/>
      <c r="B322" s="108"/>
      <c r="C322" s="108"/>
    </row>
    <row r="323">
      <c r="A323" s="108"/>
      <c r="B323" s="108"/>
      <c r="C323" s="108"/>
    </row>
    <row r="324">
      <c r="A324" s="108"/>
      <c r="B324" s="108"/>
      <c r="C324" s="108"/>
    </row>
    <row r="325">
      <c r="A325" s="108"/>
      <c r="B325" s="108"/>
      <c r="C325" s="108"/>
    </row>
    <row r="326">
      <c r="A326" s="108"/>
      <c r="B326" s="108"/>
      <c r="C326" s="108"/>
    </row>
    <row r="327">
      <c r="A327" s="108"/>
      <c r="B327" s="108"/>
      <c r="C327" s="108"/>
    </row>
    <row r="328">
      <c r="A328" s="108"/>
      <c r="B328" s="108"/>
      <c r="C328" s="108"/>
    </row>
    <row r="329">
      <c r="A329" s="108"/>
      <c r="B329" s="108"/>
      <c r="C329" s="108"/>
    </row>
    <row r="330">
      <c r="A330" s="108"/>
      <c r="B330" s="108"/>
      <c r="C330" s="108"/>
    </row>
    <row r="331">
      <c r="A331" s="108"/>
      <c r="B331" s="108"/>
      <c r="C331" s="108"/>
    </row>
    <row r="332">
      <c r="A332" s="108"/>
      <c r="B332" s="108"/>
      <c r="C332" s="108"/>
    </row>
    <row r="333">
      <c r="A333" s="108"/>
      <c r="B333" s="108"/>
      <c r="C333" s="108"/>
    </row>
    <row r="334">
      <c r="A334" s="108"/>
      <c r="B334" s="108"/>
      <c r="C334" s="108"/>
    </row>
    <row r="335">
      <c r="A335" s="108"/>
      <c r="B335" s="108"/>
      <c r="C335" s="108"/>
    </row>
    <row r="336">
      <c r="A336" s="108"/>
      <c r="B336" s="108"/>
      <c r="C336" s="108"/>
    </row>
    <row r="337">
      <c r="A337" s="108"/>
      <c r="B337" s="108"/>
      <c r="C337" s="108"/>
    </row>
    <row r="338">
      <c r="A338" s="108"/>
      <c r="B338" s="108"/>
      <c r="C338" s="108"/>
    </row>
    <row r="339">
      <c r="A339" s="108"/>
      <c r="B339" s="108"/>
      <c r="C339" s="108"/>
    </row>
    <row r="340">
      <c r="A340" s="108"/>
      <c r="B340" s="108"/>
      <c r="C340" s="108"/>
    </row>
    <row r="341">
      <c r="A341" s="108"/>
      <c r="B341" s="108"/>
      <c r="C341" s="108"/>
    </row>
    <row r="342">
      <c r="A342" s="108"/>
      <c r="B342" s="108"/>
      <c r="C342" s="108"/>
    </row>
    <row r="343">
      <c r="A343" s="108"/>
      <c r="B343" s="108"/>
      <c r="C343" s="108"/>
    </row>
    <row r="344">
      <c r="A344" s="108"/>
      <c r="B344" s="108"/>
      <c r="C344" s="108"/>
    </row>
    <row r="345">
      <c r="A345" s="108"/>
      <c r="B345" s="108"/>
      <c r="C345" s="108"/>
    </row>
    <row r="346">
      <c r="A346" s="108"/>
      <c r="B346" s="108"/>
      <c r="C346" s="108"/>
    </row>
    <row r="347">
      <c r="A347" s="108"/>
      <c r="B347" s="108"/>
      <c r="C347" s="108"/>
    </row>
    <row r="348">
      <c r="A348" s="108"/>
      <c r="B348" s="108"/>
      <c r="C348" s="108"/>
    </row>
    <row r="349">
      <c r="A349" s="108"/>
      <c r="B349" s="108"/>
      <c r="C349" s="108"/>
    </row>
    <row r="350">
      <c r="A350" s="108"/>
      <c r="B350" s="108"/>
      <c r="C350" s="108"/>
    </row>
    <row r="351">
      <c r="A351" s="108"/>
      <c r="B351" s="108"/>
      <c r="C351" s="108"/>
    </row>
    <row r="352">
      <c r="A352" s="108"/>
      <c r="B352" s="108"/>
      <c r="C352" s="108"/>
    </row>
    <row r="353">
      <c r="A353" s="108"/>
      <c r="B353" s="108"/>
      <c r="C353" s="108"/>
    </row>
    <row r="354">
      <c r="A354" s="108"/>
      <c r="B354" s="108"/>
      <c r="C354" s="108"/>
    </row>
    <row r="355">
      <c r="A355" s="108"/>
      <c r="B355" s="108"/>
      <c r="C355" s="108"/>
    </row>
    <row r="356">
      <c r="A356" s="108"/>
      <c r="B356" s="108"/>
      <c r="C356" s="108"/>
    </row>
    <row r="357">
      <c r="A357" s="108"/>
      <c r="B357" s="108"/>
      <c r="C357" s="108"/>
    </row>
    <row r="358">
      <c r="A358" s="108"/>
      <c r="B358" s="108"/>
      <c r="C358" s="108"/>
    </row>
    <row r="359">
      <c r="A359" s="108"/>
      <c r="B359" s="108"/>
      <c r="C359" s="108"/>
    </row>
    <row r="360">
      <c r="A360" s="108"/>
      <c r="B360" s="108"/>
      <c r="C360" s="108"/>
    </row>
    <row r="361">
      <c r="A361" s="108"/>
      <c r="B361" s="108"/>
      <c r="C361" s="108"/>
    </row>
    <row r="362">
      <c r="A362" s="108"/>
      <c r="B362" s="108"/>
      <c r="C362" s="108"/>
    </row>
    <row r="363">
      <c r="A363" s="108"/>
      <c r="B363" s="108"/>
      <c r="C363" s="108"/>
    </row>
    <row r="364">
      <c r="A364" s="108"/>
      <c r="B364" s="108"/>
      <c r="C364" s="108"/>
    </row>
    <row r="365">
      <c r="A365" s="108"/>
      <c r="B365" s="108"/>
      <c r="C365" s="108"/>
    </row>
    <row r="366">
      <c r="A366" s="108"/>
      <c r="B366" s="108"/>
      <c r="C366" s="108"/>
    </row>
    <row r="367">
      <c r="A367" s="108"/>
      <c r="B367" s="108"/>
      <c r="C367" s="108"/>
    </row>
    <row r="368">
      <c r="A368" s="108"/>
      <c r="B368" s="108"/>
      <c r="C368" s="108"/>
    </row>
    <row r="369">
      <c r="A369" s="108"/>
      <c r="B369" s="108"/>
      <c r="C369" s="108"/>
    </row>
    <row r="370">
      <c r="A370" s="108"/>
      <c r="B370" s="108"/>
      <c r="C370" s="108"/>
    </row>
    <row r="371">
      <c r="A371" s="108"/>
      <c r="B371" s="108"/>
      <c r="C371" s="108"/>
    </row>
    <row r="372">
      <c r="A372" s="108"/>
      <c r="B372" s="108"/>
      <c r="C372" s="108"/>
    </row>
    <row r="373">
      <c r="A373" s="108"/>
      <c r="B373" s="108"/>
      <c r="C373" s="108"/>
    </row>
    <row r="374">
      <c r="A374" s="108"/>
      <c r="B374" s="108"/>
      <c r="C374" s="108"/>
    </row>
    <row r="375">
      <c r="A375" s="108"/>
      <c r="B375" s="108"/>
      <c r="C375" s="108"/>
    </row>
    <row r="376">
      <c r="A376" s="108"/>
      <c r="B376" s="108"/>
      <c r="C376" s="108"/>
    </row>
    <row r="377">
      <c r="A377" s="108"/>
      <c r="B377" s="108"/>
      <c r="C377" s="108"/>
    </row>
    <row r="378">
      <c r="A378" s="108"/>
      <c r="B378" s="108"/>
      <c r="C378" s="108"/>
    </row>
    <row r="379">
      <c r="A379" s="108"/>
      <c r="B379" s="108"/>
      <c r="C379" s="108"/>
    </row>
    <row r="380">
      <c r="A380" s="108"/>
      <c r="B380" s="108"/>
      <c r="C380" s="108"/>
    </row>
    <row r="381">
      <c r="A381" s="108"/>
      <c r="B381" s="108"/>
      <c r="C381" s="108"/>
    </row>
    <row r="382">
      <c r="A382" s="108"/>
      <c r="B382" s="108"/>
      <c r="C382" s="108"/>
    </row>
    <row r="383">
      <c r="A383" s="108"/>
      <c r="B383" s="108"/>
      <c r="C383" s="108"/>
    </row>
    <row r="384">
      <c r="A384" s="108"/>
      <c r="B384" s="108"/>
      <c r="C384" s="108"/>
    </row>
    <row r="385">
      <c r="A385" s="108"/>
      <c r="B385" s="108"/>
      <c r="C385" s="108"/>
    </row>
    <row r="386">
      <c r="A386" s="108"/>
      <c r="B386" s="108"/>
      <c r="C386" s="108"/>
    </row>
    <row r="387">
      <c r="A387" s="108"/>
      <c r="B387" s="108"/>
      <c r="C387" s="108"/>
    </row>
    <row r="388">
      <c r="A388" s="108"/>
      <c r="B388" s="108"/>
      <c r="C388" s="108"/>
    </row>
    <row r="389">
      <c r="A389" s="108"/>
      <c r="B389" s="108"/>
      <c r="C389" s="108"/>
    </row>
    <row r="390">
      <c r="A390" s="108"/>
      <c r="B390" s="108"/>
      <c r="C390" s="108"/>
    </row>
    <row r="391">
      <c r="A391" s="108"/>
      <c r="B391" s="108"/>
      <c r="C391" s="108"/>
    </row>
    <row r="392">
      <c r="A392" s="108"/>
      <c r="B392" s="108"/>
      <c r="C392" s="108"/>
    </row>
    <row r="393">
      <c r="A393" s="108"/>
      <c r="B393" s="108"/>
      <c r="C393" s="108"/>
    </row>
    <row r="394">
      <c r="A394" s="108"/>
      <c r="B394" s="108"/>
      <c r="C394" s="108"/>
    </row>
    <row r="395">
      <c r="A395" s="108"/>
      <c r="B395" s="108"/>
      <c r="C395" s="108"/>
    </row>
    <row r="396">
      <c r="A396" s="108"/>
      <c r="B396" s="108"/>
      <c r="C396" s="108"/>
    </row>
    <row r="397">
      <c r="A397" s="108"/>
      <c r="B397" s="108"/>
      <c r="C397" s="108"/>
    </row>
    <row r="398">
      <c r="A398" s="108"/>
      <c r="B398" s="108"/>
      <c r="C398" s="108"/>
    </row>
    <row r="399">
      <c r="A399" s="108"/>
      <c r="B399" s="108"/>
      <c r="C399" s="108"/>
    </row>
    <row r="400">
      <c r="A400" s="108"/>
      <c r="B400" s="108"/>
      <c r="C400" s="108"/>
    </row>
    <row r="401">
      <c r="A401" s="108"/>
      <c r="B401" s="108"/>
      <c r="C401" s="108"/>
    </row>
    <row r="402">
      <c r="A402" s="108"/>
      <c r="B402" s="108"/>
      <c r="C402" s="108"/>
    </row>
    <row r="403">
      <c r="A403" s="108"/>
      <c r="B403" s="108"/>
      <c r="C403" s="108"/>
    </row>
    <row r="404">
      <c r="A404" s="108"/>
      <c r="B404" s="108"/>
      <c r="C404" s="108"/>
    </row>
    <row r="405">
      <c r="A405" s="108"/>
      <c r="B405" s="108"/>
      <c r="C405" s="108"/>
    </row>
    <row r="406">
      <c r="A406" s="108"/>
      <c r="B406" s="108"/>
      <c r="C406" s="108"/>
    </row>
    <row r="407">
      <c r="A407" s="108"/>
      <c r="B407" s="108"/>
      <c r="C407" s="108"/>
    </row>
    <row r="408">
      <c r="A408" s="108"/>
      <c r="B408" s="108"/>
      <c r="C408" s="108"/>
    </row>
    <row r="409">
      <c r="A409" s="108"/>
      <c r="B409" s="108"/>
      <c r="C409" s="108"/>
    </row>
    <row r="410">
      <c r="A410" s="108"/>
      <c r="B410" s="108"/>
      <c r="C410" s="108"/>
    </row>
    <row r="411">
      <c r="A411" s="108"/>
      <c r="B411" s="108"/>
      <c r="C411" s="108"/>
    </row>
    <row r="412">
      <c r="A412" s="108"/>
      <c r="B412" s="108"/>
      <c r="C412" s="108"/>
    </row>
    <row r="413">
      <c r="A413" s="108"/>
      <c r="B413" s="108"/>
      <c r="C413" s="108"/>
    </row>
    <row r="414">
      <c r="A414" s="108"/>
      <c r="B414" s="108"/>
      <c r="C414" s="108"/>
    </row>
    <row r="415">
      <c r="A415" s="108"/>
      <c r="B415" s="108"/>
      <c r="C415" s="108"/>
    </row>
    <row r="416">
      <c r="A416" s="108"/>
      <c r="B416" s="108"/>
      <c r="C416" s="108"/>
    </row>
    <row r="417">
      <c r="A417" s="108"/>
      <c r="B417" s="108"/>
      <c r="C417" s="108"/>
    </row>
    <row r="418">
      <c r="A418" s="108"/>
      <c r="B418" s="108"/>
      <c r="C418" s="108"/>
    </row>
    <row r="419">
      <c r="A419" s="108"/>
      <c r="B419" s="108"/>
      <c r="C419" s="108"/>
    </row>
    <row r="420">
      <c r="A420" s="108"/>
      <c r="B420" s="108"/>
      <c r="C420" s="108"/>
    </row>
    <row r="421">
      <c r="A421" s="108"/>
      <c r="B421" s="108"/>
      <c r="C421" s="108"/>
    </row>
    <row r="422">
      <c r="A422" s="108"/>
      <c r="B422" s="108"/>
      <c r="C422" s="108"/>
    </row>
    <row r="423">
      <c r="A423" s="108"/>
      <c r="B423" s="108"/>
      <c r="C423" s="108"/>
    </row>
    <row r="424">
      <c r="A424" s="108"/>
      <c r="B424" s="108"/>
      <c r="C424" s="108"/>
    </row>
    <row r="425">
      <c r="A425" s="108"/>
      <c r="B425" s="108"/>
      <c r="C425" s="108"/>
    </row>
    <row r="426">
      <c r="A426" s="108"/>
      <c r="B426" s="108"/>
      <c r="C426" s="108"/>
    </row>
    <row r="427">
      <c r="A427" s="108"/>
      <c r="B427" s="108"/>
      <c r="C427" s="108"/>
    </row>
    <row r="428">
      <c r="A428" s="108"/>
      <c r="B428" s="108"/>
      <c r="C428" s="108"/>
    </row>
    <row r="429">
      <c r="A429" s="108"/>
      <c r="B429" s="108"/>
      <c r="C429" s="108"/>
    </row>
    <row r="430">
      <c r="A430" s="108"/>
      <c r="B430" s="108"/>
      <c r="C430" s="108"/>
    </row>
    <row r="431">
      <c r="A431" s="108"/>
      <c r="B431" s="108"/>
      <c r="C431" s="108"/>
    </row>
    <row r="432">
      <c r="A432" s="108"/>
      <c r="B432" s="108"/>
      <c r="C432" s="108"/>
    </row>
    <row r="433">
      <c r="A433" s="108"/>
      <c r="B433" s="108"/>
      <c r="C433" s="108"/>
    </row>
    <row r="434">
      <c r="A434" s="108"/>
      <c r="B434" s="108"/>
      <c r="C434" s="108"/>
    </row>
    <row r="435">
      <c r="A435" s="108"/>
      <c r="B435" s="108"/>
      <c r="C435" s="108"/>
    </row>
    <row r="436">
      <c r="A436" s="108"/>
      <c r="B436" s="108"/>
      <c r="C436" s="108"/>
    </row>
    <row r="437">
      <c r="A437" s="108"/>
      <c r="B437" s="108"/>
      <c r="C437" s="108"/>
    </row>
    <row r="438">
      <c r="A438" s="108"/>
      <c r="B438" s="108"/>
      <c r="C438" s="108"/>
    </row>
    <row r="439">
      <c r="A439" s="108"/>
      <c r="B439" s="108"/>
      <c r="C439" s="108"/>
    </row>
    <row r="440">
      <c r="A440" s="108"/>
      <c r="B440" s="108"/>
      <c r="C440" s="108"/>
    </row>
    <row r="441">
      <c r="A441" s="108"/>
      <c r="B441" s="108"/>
      <c r="C441" s="108"/>
    </row>
    <row r="442">
      <c r="A442" s="108"/>
      <c r="B442" s="108"/>
      <c r="C442" s="108"/>
    </row>
    <row r="443">
      <c r="A443" s="108"/>
      <c r="B443" s="108"/>
      <c r="C443" s="108"/>
    </row>
    <row r="444">
      <c r="A444" s="108"/>
      <c r="B444" s="108"/>
      <c r="C444" s="108"/>
    </row>
    <row r="445">
      <c r="A445" s="108"/>
      <c r="B445" s="108"/>
      <c r="C445" s="108"/>
    </row>
    <row r="446">
      <c r="A446" s="108"/>
      <c r="B446" s="108"/>
      <c r="C446" s="108"/>
    </row>
    <row r="447">
      <c r="A447" s="108"/>
      <c r="B447" s="108"/>
      <c r="C447" s="108"/>
    </row>
    <row r="448">
      <c r="A448" s="108"/>
      <c r="B448" s="108"/>
      <c r="C448" s="108"/>
    </row>
    <row r="449">
      <c r="A449" s="108"/>
      <c r="B449" s="108"/>
      <c r="C449" s="108"/>
    </row>
    <row r="450">
      <c r="A450" s="108"/>
      <c r="B450" s="108"/>
      <c r="C450" s="108"/>
    </row>
    <row r="451">
      <c r="A451" s="108"/>
      <c r="B451" s="108"/>
      <c r="C451" s="108"/>
    </row>
    <row r="452">
      <c r="A452" s="108"/>
      <c r="B452" s="108"/>
      <c r="C452" s="108"/>
    </row>
    <row r="453">
      <c r="A453" s="108"/>
      <c r="B453" s="108"/>
      <c r="C453" s="108"/>
    </row>
    <row r="454">
      <c r="A454" s="108"/>
      <c r="B454" s="108"/>
      <c r="C454" s="108"/>
    </row>
    <row r="455">
      <c r="A455" s="108"/>
      <c r="B455" s="108"/>
      <c r="C455" s="108"/>
    </row>
    <row r="456">
      <c r="A456" s="108"/>
      <c r="B456" s="108"/>
      <c r="C456" s="108"/>
    </row>
    <row r="457">
      <c r="A457" s="108"/>
      <c r="B457" s="108"/>
      <c r="C457" s="108"/>
    </row>
    <row r="458">
      <c r="A458" s="108"/>
      <c r="B458" s="108"/>
      <c r="C458" s="108"/>
    </row>
    <row r="459">
      <c r="A459" s="108"/>
      <c r="B459" s="108"/>
      <c r="C459" s="108"/>
    </row>
    <row r="460">
      <c r="A460" s="108"/>
      <c r="B460" s="108"/>
      <c r="C460" s="108"/>
    </row>
    <row r="461">
      <c r="A461" s="108"/>
      <c r="B461" s="108"/>
      <c r="C461" s="108"/>
    </row>
    <row r="462">
      <c r="A462" s="108"/>
      <c r="B462" s="108"/>
      <c r="C462" s="108"/>
    </row>
    <row r="463">
      <c r="A463" s="108"/>
      <c r="B463" s="108"/>
      <c r="C463" s="108"/>
    </row>
    <row r="464">
      <c r="A464" s="108"/>
      <c r="B464" s="108"/>
      <c r="C464" s="108"/>
    </row>
    <row r="465">
      <c r="A465" s="108"/>
      <c r="B465" s="108"/>
      <c r="C465" s="108"/>
    </row>
    <row r="466">
      <c r="A466" s="108"/>
      <c r="B466" s="108"/>
      <c r="C466" s="108"/>
    </row>
    <row r="467">
      <c r="A467" s="108"/>
      <c r="B467" s="108"/>
      <c r="C467" s="108"/>
    </row>
    <row r="468">
      <c r="A468" s="108"/>
      <c r="B468" s="108"/>
      <c r="C468" s="108"/>
    </row>
    <row r="469">
      <c r="A469" s="108"/>
      <c r="B469" s="108"/>
      <c r="C469" s="108"/>
    </row>
    <row r="470">
      <c r="A470" s="108"/>
      <c r="B470" s="108"/>
      <c r="C470" s="108"/>
    </row>
    <row r="471">
      <c r="A471" s="108"/>
      <c r="B471" s="108"/>
      <c r="C471" s="108"/>
    </row>
    <row r="472">
      <c r="A472" s="108"/>
      <c r="B472" s="108"/>
      <c r="C472" s="108"/>
    </row>
    <row r="473">
      <c r="A473" s="108"/>
      <c r="B473" s="108"/>
      <c r="C473" s="108"/>
    </row>
    <row r="474">
      <c r="A474" s="108"/>
      <c r="B474" s="108"/>
      <c r="C474" s="108"/>
    </row>
    <row r="475">
      <c r="A475" s="108"/>
      <c r="B475" s="108"/>
      <c r="C475" s="108"/>
    </row>
    <row r="476">
      <c r="A476" s="108"/>
      <c r="B476" s="108"/>
      <c r="C476" s="108"/>
    </row>
    <row r="477">
      <c r="A477" s="108"/>
      <c r="B477" s="108"/>
      <c r="C477" s="108"/>
    </row>
    <row r="478">
      <c r="A478" s="108"/>
      <c r="B478" s="108"/>
      <c r="C478" s="108"/>
    </row>
    <row r="479">
      <c r="A479" s="108"/>
      <c r="B479" s="108"/>
      <c r="C479" s="108"/>
    </row>
    <row r="480">
      <c r="A480" s="108"/>
      <c r="B480" s="108"/>
      <c r="C480" s="108"/>
    </row>
    <row r="481">
      <c r="A481" s="108"/>
      <c r="B481" s="108"/>
      <c r="C481" s="108"/>
    </row>
    <row r="482">
      <c r="A482" s="108"/>
      <c r="B482" s="108"/>
      <c r="C482" s="108"/>
    </row>
    <row r="483">
      <c r="A483" s="108"/>
      <c r="B483" s="108"/>
      <c r="C483" s="108"/>
    </row>
    <row r="484">
      <c r="A484" s="108"/>
      <c r="B484" s="108"/>
      <c r="C484" s="108"/>
    </row>
    <row r="485">
      <c r="A485" s="108"/>
      <c r="B485" s="108"/>
      <c r="C485" s="108"/>
    </row>
    <row r="486">
      <c r="A486" s="108"/>
      <c r="B486" s="108"/>
      <c r="C486" s="108"/>
    </row>
    <row r="487">
      <c r="A487" s="108"/>
      <c r="B487" s="108"/>
      <c r="C487" s="108"/>
    </row>
    <row r="488">
      <c r="A488" s="108"/>
      <c r="B488" s="108"/>
      <c r="C488" s="108"/>
    </row>
    <row r="489">
      <c r="A489" s="108"/>
      <c r="B489" s="108"/>
      <c r="C489" s="108"/>
    </row>
    <row r="490">
      <c r="A490" s="108"/>
      <c r="B490" s="108"/>
      <c r="C490" s="108"/>
    </row>
    <row r="491">
      <c r="A491" s="108"/>
      <c r="B491" s="108"/>
      <c r="C491" s="108"/>
    </row>
    <row r="492">
      <c r="A492" s="108"/>
      <c r="B492" s="108"/>
      <c r="C492" s="108"/>
    </row>
    <row r="493">
      <c r="A493" s="108"/>
      <c r="B493" s="108"/>
      <c r="C493" s="108"/>
    </row>
    <row r="494">
      <c r="A494" s="108"/>
      <c r="B494" s="108"/>
      <c r="C494" s="108"/>
    </row>
    <row r="495">
      <c r="A495" s="108"/>
      <c r="B495" s="108"/>
      <c r="C495" s="108"/>
    </row>
    <row r="496">
      <c r="A496" s="108"/>
      <c r="B496" s="108"/>
      <c r="C496" s="108"/>
    </row>
    <row r="497">
      <c r="A497" s="108"/>
      <c r="B497" s="108"/>
      <c r="C497" s="108"/>
    </row>
    <row r="498">
      <c r="A498" s="108"/>
      <c r="B498" s="108"/>
      <c r="C498" s="108"/>
    </row>
    <row r="499">
      <c r="A499" s="108"/>
      <c r="B499" s="108"/>
      <c r="C499" s="108"/>
    </row>
    <row r="500">
      <c r="A500" s="108"/>
      <c r="B500" s="108"/>
      <c r="C500" s="108"/>
    </row>
    <row r="501">
      <c r="A501" s="108"/>
      <c r="B501" s="108"/>
      <c r="C501" s="108"/>
    </row>
    <row r="502">
      <c r="A502" s="108"/>
      <c r="B502" s="108"/>
      <c r="C502" s="108"/>
    </row>
    <row r="503">
      <c r="A503" s="108"/>
      <c r="B503" s="108"/>
      <c r="C503" s="108"/>
    </row>
    <row r="504">
      <c r="A504" s="108"/>
      <c r="B504" s="108"/>
      <c r="C504" s="108"/>
    </row>
    <row r="505">
      <c r="A505" s="108"/>
      <c r="B505" s="108"/>
      <c r="C505" s="108"/>
    </row>
    <row r="506">
      <c r="A506" s="108"/>
      <c r="B506" s="108"/>
      <c r="C506" s="108"/>
    </row>
    <row r="507">
      <c r="A507" s="108"/>
      <c r="B507" s="108"/>
      <c r="C507" s="108"/>
    </row>
    <row r="508">
      <c r="A508" s="108"/>
      <c r="B508" s="108"/>
      <c r="C508" s="108"/>
    </row>
    <row r="509">
      <c r="A509" s="108"/>
      <c r="B509" s="108"/>
      <c r="C509" s="108"/>
    </row>
    <row r="510">
      <c r="A510" s="108"/>
      <c r="B510" s="108"/>
      <c r="C510" s="108"/>
    </row>
    <row r="511">
      <c r="A511" s="108"/>
      <c r="B511" s="108"/>
      <c r="C511" s="108"/>
    </row>
    <row r="512">
      <c r="A512" s="108"/>
      <c r="B512" s="108"/>
      <c r="C512" s="108"/>
    </row>
    <row r="513">
      <c r="A513" s="108"/>
      <c r="B513" s="108"/>
      <c r="C513" s="108"/>
    </row>
    <row r="514">
      <c r="A514" s="108"/>
      <c r="B514" s="108"/>
      <c r="C514" s="108"/>
    </row>
    <row r="515">
      <c r="A515" s="108"/>
      <c r="B515" s="108"/>
      <c r="C515" s="108"/>
    </row>
    <row r="516">
      <c r="A516" s="108"/>
      <c r="B516" s="108"/>
      <c r="C516" s="108"/>
    </row>
    <row r="517">
      <c r="A517" s="108"/>
      <c r="B517" s="108"/>
      <c r="C517" s="108"/>
    </row>
    <row r="518">
      <c r="A518" s="108"/>
      <c r="B518" s="108"/>
      <c r="C518" s="108"/>
    </row>
    <row r="519">
      <c r="A519" s="108"/>
      <c r="B519" s="108"/>
      <c r="C519" s="108"/>
    </row>
    <row r="520">
      <c r="A520" s="108"/>
      <c r="B520" s="108"/>
      <c r="C520" s="108"/>
    </row>
    <row r="521">
      <c r="A521" s="108"/>
      <c r="B521" s="108"/>
      <c r="C521" s="108"/>
    </row>
    <row r="522">
      <c r="A522" s="108"/>
      <c r="B522" s="108"/>
      <c r="C522" s="108"/>
    </row>
    <row r="523">
      <c r="A523" s="108"/>
      <c r="B523" s="108"/>
      <c r="C523" s="108"/>
    </row>
    <row r="524">
      <c r="A524" s="108"/>
      <c r="B524" s="108"/>
      <c r="C524" s="108"/>
    </row>
    <row r="525">
      <c r="A525" s="108"/>
      <c r="B525" s="108"/>
      <c r="C525" s="108"/>
    </row>
    <row r="526">
      <c r="A526" s="108"/>
      <c r="B526" s="108"/>
      <c r="C526" s="108"/>
    </row>
    <row r="527">
      <c r="A527" s="108"/>
      <c r="B527" s="108"/>
      <c r="C527" s="108"/>
    </row>
    <row r="528">
      <c r="A528" s="108"/>
      <c r="B528" s="108"/>
      <c r="C528" s="108"/>
    </row>
    <row r="529">
      <c r="A529" s="108"/>
      <c r="B529" s="108"/>
      <c r="C529" s="108"/>
    </row>
    <row r="530">
      <c r="A530" s="108"/>
      <c r="B530" s="108"/>
      <c r="C530" s="108"/>
    </row>
    <row r="531">
      <c r="A531" s="108"/>
      <c r="B531" s="108"/>
      <c r="C531" s="108"/>
    </row>
    <row r="532">
      <c r="A532" s="108"/>
      <c r="B532" s="108"/>
      <c r="C532" s="108"/>
    </row>
    <row r="533">
      <c r="A533" s="108"/>
      <c r="B533" s="108"/>
      <c r="C533" s="108"/>
    </row>
    <row r="534">
      <c r="A534" s="108"/>
      <c r="B534" s="108"/>
      <c r="C534" s="108"/>
    </row>
    <row r="535">
      <c r="A535" s="108"/>
      <c r="B535" s="108"/>
      <c r="C535" s="108"/>
    </row>
    <row r="536">
      <c r="A536" s="108"/>
      <c r="B536" s="108"/>
      <c r="C536" s="108"/>
    </row>
    <row r="537">
      <c r="A537" s="108"/>
      <c r="B537" s="108"/>
      <c r="C537" s="108"/>
    </row>
    <row r="538">
      <c r="A538" s="108"/>
      <c r="B538" s="108"/>
      <c r="C538" s="108"/>
    </row>
    <row r="539">
      <c r="A539" s="108"/>
      <c r="B539" s="108"/>
      <c r="C539" s="108"/>
    </row>
    <row r="540">
      <c r="A540" s="108"/>
      <c r="B540" s="108"/>
      <c r="C540" s="108"/>
    </row>
    <row r="541">
      <c r="A541" s="108"/>
      <c r="B541" s="108"/>
      <c r="C541" s="108"/>
    </row>
    <row r="542">
      <c r="A542" s="108"/>
      <c r="B542" s="108"/>
      <c r="C542" s="108"/>
    </row>
    <row r="543">
      <c r="A543" s="108"/>
      <c r="B543" s="108"/>
      <c r="C543" s="108"/>
    </row>
    <row r="544">
      <c r="A544" s="108"/>
      <c r="B544" s="108"/>
      <c r="C544" s="108"/>
    </row>
    <row r="545">
      <c r="A545" s="108"/>
      <c r="B545" s="108"/>
      <c r="C545" s="108"/>
    </row>
    <row r="546">
      <c r="A546" s="108"/>
      <c r="B546" s="108"/>
      <c r="C546" s="108"/>
    </row>
    <row r="547">
      <c r="A547" s="108"/>
      <c r="B547" s="108"/>
      <c r="C547" s="108"/>
    </row>
    <row r="548">
      <c r="A548" s="108"/>
      <c r="B548" s="108"/>
      <c r="C548" s="108"/>
    </row>
    <row r="549">
      <c r="A549" s="108"/>
      <c r="B549" s="108"/>
      <c r="C549" s="108"/>
    </row>
    <row r="550">
      <c r="A550" s="108"/>
      <c r="B550" s="108"/>
      <c r="C550" s="108"/>
    </row>
    <row r="551">
      <c r="A551" s="108"/>
      <c r="B551" s="108"/>
      <c r="C551" s="108"/>
    </row>
    <row r="552">
      <c r="A552" s="108"/>
      <c r="B552" s="108"/>
      <c r="C552" s="108"/>
    </row>
    <row r="553">
      <c r="A553" s="108"/>
      <c r="B553" s="108"/>
      <c r="C553" s="108"/>
    </row>
    <row r="554">
      <c r="A554" s="108"/>
      <c r="B554" s="108"/>
      <c r="C554" s="108"/>
    </row>
    <row r="555">
      <c r="A555" s="108"/>
      <c r="B555" s="108"/>
      <c r="C555" s="108"/>
    </row>
    <row r="556">
      <c r="A556" s="108"/>
      <c r="B556" s="108"/>
      <c r="C556" s="108"/>
    </row>
    <row r="557">
      <c r="A557" s="108"/>
      <c r="B557" s="108"/>
      <c r="C557" s="108"/>
    </row>
    <row r="558">
      <c r="A558" s="108"/>
      <c r="B558" s="108"/>
      <c r="C558" s="108"/>
    </row>
    <row r="559">
      <c r="A559" s="108"/>
      <c r="B559" s="108"/>
      <c r="C559" s="108"/>
    </row>
    <row r="560">
      <c r="A560" s="108"/>
      <c r="B560" s="108"/>
      <c r="C560" s="108"/>
    </row>
    <row r="561">
      <c r="A561" s="108"/>
      <c r="B561" s="108"/>
      <c r="C561" s="108"/>
    </row>
    <row r="562">
      <c r="A562" s="108"/>
      <c r="B562" s="108"/>
      <c r="C562" s="108"/>
    </row>
    <row r="563">
      <c r="A563" s="108"/>
      <c r="B563" s="108"/>
      <c r="C563" s="108"/>
    </row>
    <row r="564">
      <c r="A564" s="108"/>
      <c r="B564" s="108"/>
      <c r="C564" s="108"/>
    </row>
    <row r="565">
      <c r="A565" s="108"/>
      <c r="B565" s="108"/>
      <c r="C565" s="108"/>
    </row>
    <row r="566">
      <c r="A566" s="108"/>
      <c r="B566" s="108"/>
      <c r="C566" s="108"/>
    </row>
    <row r="567">
      <c r="A567" s="108"/>
      <c r="B567" s="108"/>
      <c r="C567" s="108"/>
    </row>
    <row r="568">
      <c r="A568" s="108"/>
      <c r="B568" s="108"/>
      <c r="C568" s="108"/>
    </row>
    <row r="569">
      <c r="A569" s="108"/>
      <c r="B569" s="108"/>
      <c r="C569" s="108"/>
    </row>
    <row r="570">
      <c r="A570" s="108"/>
      <c r="B570" s="108"/>
      <c r="C570" s="108"/>
    </row>
    <row r="571">
      <c r="A571" s="108"/>
      <c r="B571" s="108"/>
      <c r="C571" s="108"/>
    </row>
    <row r="572">
      <c r="A572" s="108"/>
      <c r="B572" s="108"/>
      <c r="C572" s="108"/>
    </row>
    <row r="573">
      <c r="A573" s="108"/>
      <c r="B573" s="108"/>
      <c r="C573" s="108"/>
    </row>
    <row r="574">
      <c r="A574" s="108"/>
      <c r="B574" s="108"/>
      <c r="C574" s="108"/>
    </row>
    <row r="575">
      <c r="A575" s="108"/>
      <c r="B575" s="108"/>
      <c r="C575" s="108"/>
    </row>
    <row r="576">
      <c r="A576" s="108"/>
      <c r="B576" s="108"/>
      <c r="C576" s="108"/>
    </row>
    <row r="577">
      <c r="A577" s="108"/>
      <c r="B577" s="108"/>
      <c r="C577" s="108"/>
    </row>
    <row r="578">
      <c r="A578" s="108"/>
      <c r="B578" s="108"/>
      <c r="C578" s="108"/>
    </row>
    <row r="579">
      <c r="A579" s="108"/>
      <c r="B579" s="108"/>
      <c r="C579" s="108"/>
    </row>
    <row r="580">
      <c r="A580" s="108"/>
      <c r="B580" s="108"/>
      <c r="C580" s="108"/>
    </row>
    <row r="581">
      <c r="A581" s="108"/>
      <c r="B581" s="108"/>
      <c r="C581" s="108"/>
    </row>
    <row r="582">
      <c r="A582" s="108"/>
      <c r="B582" s="108"/>
      <c r="C582" s="108"/>
    </row>
    <row r="583">
      <c r="A583" s="108"/>
      <c r="B583" s="108"/>
      <c r="C583" s="108"/>
    </row>
    <row r="584">
      <c r="A584" s="108"/>
      <c r="B584" s="108"/>
      <c r="C584" s="108"/>
    </row>
    <row r="585">
      <c r="A585" s="108"/>
      <c r="B585" s="108"/>
      <c r="C585" s="108"/>
    </row>
    <row r="586">
      <c r="A586" s="108"/>
      <c r="B586" s="108"/>
      <c r="C586" s="108"/>
    </row>
    <row r="587">
      <c r="A587" s="108"/>
      <c r="B587" s="108"/>
      <c r="C587" s="108"/>
    </row>
    <row r="588">
      <c r="A588" s="108"/>
      <c r="B588" s="108"/>
      <c r="C588" s="108"/>
    </row>
    <row r="589">
      <c r="A589" s="108"/>
      <c r="B589" s="108"/>
      <c r="C589" s="108"/>
    </row>
    <row r="590">
      <c r="A590" s="108"/>
      <c r="B590" s="108"/>
      <c r="C590" s="108"/>
    </row>
    <row r="591">
      <c r="A591" s="108"/>
      <c r="B591" s="108"/>
      <c r="C591" s="108"/>
    </row>
    <row r="592">
      <c r="A592" s="108"/>
      <c r="B592" s="108"/>
      <c r="C592" s="108"/>
    </row>
    <row r="593">
      <c r="A593" s="108"/>
      <c r="B593" s="108"/>
      <c r="C593" s="108"/>
    </row>
    <row r="594">
      <c r="A594" s="108"/>
      <c r="B594" s="108"/>
      <c r="C594" s="108"/>
    </row>
    <row r="595">
      <c r="A595" s="108"/>
      <c r="B595" s="108"/>
      <c r="C595" s="108"/>
    </row>
    <row r="596">
      <c r="A596" s="108"/>
      <c r="B596" s="108"/>
      <c r="C596" s="108"/>
    </row>
    <row r="597">
      <c r="A597" s="108"/>
      <c r="B597" s="108"/>
      <c r="C597" s="108"/>
    </row>
    <row r="598">
      <c r="A598" s="108"/>
      <c r="B598" s="108"/>
      <c r="C598" s="108"/>
    </row>
    <row r="599">
      <c r="A599" s="108"/>
      <c r="B599" s="108"/>
      <c r="C599" s="108"/>
    </row>
    <row r="600">
      <c r="A600" s="108"/>
      <c r="B600" s="108"/>
      <c r="C600" s="108"/>
    </row>
    <row r="601">
      <c r="A601" s="108"/>
      <c r="B601" s="108"/>
      <c r="C601" s="108"/>
    </row>
    <row r="602">
      <c r="A602" s="108"/>
      <c r="B602" s="108"/>
      <c r="C602" s="108"/>
    </row>
    <row r="603">
      <c r="A603" s="108"/>
      <c r="B603" s="108"/>
      <c r="C603" s="108"/>
    </row>
    <row r="604">
      <c r="A604" s="108"/>
      <c r="B604" s="108"/>
      <c r="C604" s="108"/>
    </row>
    <row r="605">
      <c r="A605" s="108"/>
      <c r="B605" s="108"/>
      <c r="C605" s="108"/>
    </row>
    <row r="606">
      <c r="A606" s="108"/>
      <c r="B606" s="108"/>
      <c r="C606" s="108"/>
    </row>
    <row r="607">
      <c r="A607" s="108"/>
      <c r="B607" s="108"/>
      <c r="C607" s="108"/>
    </row>
    <row r="608">
      <c r="A608" s="108"/>
      <c r="B608" s="108"/>
      <c r="C608" s="108"/>
    </row>
    <row r="609">
      <c r="A609" s="108"/>
      <c r="B609" s="108"/>
      <c r="C609" s="108"/>
    </row>
    <row r="610">
      <c r="A610" s="108"/>
      <c r="B610" s="108"/>
      <c r="C610" s="108"/>
    </row>
    <row r="611">
      <c r="A611" s="108"/>
      <c r="B611" s="108"/>
      <c r="C611" s="108"/>
    </row>
    <row r="612">
      <c r="A612" s="108"/>
      <c r="B612" s="108"/>
      <c r="C612" s="108"/>
    </row>
    <row r="613">
      <c r="A613" s="108"/>
      <c r="B613" s="108"/>
      <c r="C613" s="108"/>
    </row>
    <row r="614">
      <c r="A614" s="108"/>
      <c r="B614" s="108"/>
      <c r="C614" s="108"/>
    </row>
    <row r="615">
      <c r="A615" s="108"/>
      <c r="B615" s="108"/>
      <c r="C615" s="108"/>
    </row>
    <row r="616">
      <c r="A616" s="108"/>
      <c r="B616" s="108"/>
      <c r="C616" s="108"/>
    </row>
    <row r="617">
      <c r="A617" s="108"/>
      <c r="B617" s="108"/>
      <c r="C617" s="108"/>
    </row>
    <row r="618">
      <c r="A618" s="108"/>
      <c r="B618" s="108"/>
      <c r="C618" s="108"/>
    </row>
    <row r="619">
      <c r="A619" s="108"/>
      <c r="B619" s="108"/>
      <c r="C619" s="108"/>
    </row>
    <row r="620">
      <c r="A620" s="108"/>
      <c r="B620" s="108"/>
      <c r="C620" s="108"/>
    </row>
    <row r="621">
      <c r="A621" s="108"/>
      <c r="B621" s="108"/>
      <c r="C621" s="108"/>
    </row>
    <row r="622">
      <c r="A622" s="108"/>
      <c r="B622" s="108"/>
      <c r="C622" s="108"/>
    </row>
    <row r="623">
      <c r="A623" s="108"/>
      <c r="B623" s="108"/>
      <c r="C623" s="108"/>
    </row>
    <row r="624">
      <c r="A624" s="108"/>
      <c r="B624" s="108"/>
      <c r="C624" s="108"/>
    </row>
    <row r="625">
      <c r="A625" s="108"/>
      <c r="B625" s="108"/>
      <c r="C625" s="108"/>
    </row>
    <row r="626">
      <c r="A626" s="108"/>
      <c r="B626" s="108"/>
      <c r="C626" s="108"/>
    </row>
    <row r="627">
      <c r="A627" s="108"/>
      <c r="B627" s="108"/>
      <c r="C627" s="108"/>
    </row>
    <row r="628">
      <c r="A628" s="108"/>
      <c r="B628" s="108"/>
      <c r="C628" s="108"/>
    </row>
    <row r="629">
      <c r="A629" s="108"/>
      <c r="B629" s="108"/>
      <c r="C629" s="108"/>
    </row>
    <row r="630">
      <c r="A630" s="108"/>
      <c r="B630" s="108"/>
      <c r="C630" s="108"/>
    </row>
    <row r="631">
      <c r="A631" s="108"/>
      <c r="B631" s="108"/>
      <c r="C631" s="108"/>
    </row>
    <row r="632">
      <c r="A632" s="108"/>
      <c r="B632" s="108"/>
      <c r="C632" s="108"/>
    </row>
    <row r="633">
      <c r="A633" s="108"/>
      <c r="B633" s="108"/>
      <c r="C633" s="108"/>
    </row>
    <row r="634">
      <c r="A634" s="108"/>
      <c r="B634" s="108"/>
      <c r="C634" s="108"/>
    </row>
    <row r="635">
      <c r="A635" s="108"/>
      <c r="B635" s="108"/>
      <c r="C635" s="108"/>
    </row>
    <row r="636">
      <c r="A636" s="108"/>
      <c r="B636" s="108"/>
      <c r="C636" s="108"/>
    </row>
    <row r="637">
      <c r="A637" s="108"/>
      <c r="B637" s="108"/>
      <c r="C637" s="108"/>
    </row>
    <row r="638">
      <c r="A638" s="108"/>
      <c r="B638" s="108"/>
      <c r="C638" s="108"/>
    </row>
    <row r="639">
      <c r="A639" s="108"/>
      <c r="B639" s="108"/>
      <c r="C639" s="108"/>
    </row>
    <row r="640">
      <c r="A640" s="108"/>
      <c r="B640" s="108"/>
      <c r="C640" s="108"/>
    </row>
    <row r="641">
      <c r="A641" s="108"/>
      <c r="B641" s="108"/>
      <c r="C641" s="108"/>
    </row>
    <row r="642">
      <c r="A642" s="108"/>
      <c r="B642" s="108"/>
      <c r="C642" s="108"/>
    </row>
    <row r="643">
      <c r="A643" s="108"/>
      <c r="B643" s="108"/>
      <c r="C643" s="108"/>
    </row>
    <row r="644">
      <c r="A644" s="108"/>
      <c r="B644" s="108"/>
      <c r="C644" s="108"/>
    </row>
    <row r="645">
      <c r="A645" s="108"/>
      <c r="B645" s="108"/>
      <c r="C645" s="108"/>
    </row>
    <row r="646">
      <c r="A646" s="108"/>
      <c r="B646" s="108"/>
      <c r="C646" s="108"/>
    </row>
    <row r="647">
      <c r="A647" s="108"/>
      <c r="B647" s="108"/>
      <c r="C647" s="108"/>
    </row>
    <row r="648">
      <c r="A648" s="108"/>
      <c r="B648" s="108"/>
      <c r="C648" s="108"/>
    </row>
    <row r="649">
      <c r="A649" s="108"/>
      <c r="B649" s="108"/>
      <c r="C649" s="108"/>
    </row>
    <row r="650">
      <c r="A650" s="108"/>
      <c r="B650" s="108"/>
      <c r="C650" s="108"/>
    </row>
    <row r="651">
      <c r="A651" s="108"/>
      <c r="B651" s="108"/>
      <c r="C651" s="108"/>
    </row>
    <row r="652">
      <c r="A652" s="108"/>
      <c r="B652" s="108"/>
      <c r="C652" s="108"/>
    </row>
    <row r="653">
      <c r="A653" s="108"/>
      <c r="B653" s="108"/>
      <c r="C653" s="108"/>
    </row>
    <row r="654">
      <c r="A654" s="108"/>
      <c r="B654" s="108"/>
      <c r="C654" s="108"/>
    </row>
    <row r="655">
      <c r="A655" s="108"/>
      <c r="B655" s="108"/>
      <c r="C655" s="108"/>
    </row>
    <row r="656">
      <c r="A656" s="108"/>
      <c r="B656" s="108"/>
      <c r="C656" s="108"/>
    </row>
    <row r="657">
      <c r="A657" s="108"/>
      <c r="B657" s="108"/>
      <c r="C657" s="108"/>
    </row>
    <row r="658">
      <c r="A658" s="108"/>
      <c r="B658" s="108"/>
      <c r="C658" s="108"/>
    </row>
    <row r="659">
      <c r="A659" s="108"/>
      <c r="B659" s="108"/>
      <c r="C659" s="108"/>
    </row>
    <row r="660">
      <c r="A660" s="108"/>
      <c r="B660" s="108"/>
      <c r="C660" s="108"/>
    </row>
    <row r="661">
      <c r="A661" s="108"/>
      <c r="B661" s="108"/>
      <c r="C661" s="108"/>
    </row>
    <row r="662">
      <c r="A662" s="108"/>
      <c r="B662" s="108"/>
      <c r="C662" s="108"/>
    </row>
    <row r="663">
      <c r="A663" s="108"/>
      <c r="B663" s="108"/>
      <c r="C663" s="108"/>
    </row>
    <row r="664">
      <c r="A664" s="108"/>
      <c r="B664" s="108"/>
      <c r="C664" s="108"/>
    </row>
    <row r="665">
      <c r="A665" s="108"/>
      <c r="B665" s="108"/>
      <c r="C665" s="108"/>
    </row>
    <row r="666">
      <c r="A666" s="108"/>
      <c r="B666" s="108"/>
      <c r="C666" s="108"/>
    </row>
    <row r="667">
      <c r="A667" s="108"/>
      <c r="B667" s="108"/>
      <c r="C667" s="108"/>
    </row>
    <row r="668">
      <c r="A668" s="108"/>
      <c r="B668" s="108"/>
      <c r="C668" s="108"/>
    </row>
    <row r="669">
      <c r="A669" s="108"/>
      <c r="B669" s="108"/>
      <c r="C669" s="108"/>
    </row>
    <row r="670">
      <c r="A670" s="108"/>
      <c r="B670" s="108"/>
      <c r="C670" s="108"/>
    </row>
    <row r="671">
      <c r="A671" s="108"/>
      <c r="B671" s="108"/>
      <c r="C671" s="108"/>
    </row>
    <row r="672">
      <c r="A672" s="108"/>
      <c r="B672" s="108"/>
      <c r="C672" s="108"/>
    </row>
    <row r="673">
      <c r="A673" s="108"/>
      <c r="B673" s="108"/>
      <c r="C673" s="108"/>
    </row>
    <row r="674">
      <c r="A674" s="108"/>
      <c r="B674" s="108"/>
      <c r="C674" s="108"/>
    </row>
    <row r="675">
      <c r="A675" s="108"/>
      <c r="B675" s="108"/>
      <c r="C675" s="108"/>
    </row>
    <row r="676">
      <c r="A676" s="108"/>
      <c r="B676" s="108"/>
      <c r="C676" s="108"/>
    </row>
    <row r="677">
      <c r="A677" s="108"/>
      <c r="B677" s="108"/>
      <c r="C677" s="108"/>
    </row>
    <row r="678">
      <c r="A678" s="108"/>
      <c r="B678" s="108"/>
      <c r="C678" s="108"/>
    </row>
    <row r="679">
      <c r="A679" s="108"/>
      <c r="B679" s="108"/>
      <c r="C679" s="108"/>
    </row>
    <row r="680">
      <c r="A680" s="108"/>
      <c r="B680" s="108"/>
      <c r="C680" s="108"/>
    </row>
    <row r="681">
      <c r="A681" s="108"/>
      <c r="B681" s="108"/>
      <c r="C681" s="108"/>
    </row>
    <row r="682">
      <c r="A682" s="108"/>
      <c r="B682" s="108"/>
      <c r="C682" s="108"/>
    </row>
    <row r="683">
      <c r="A683" s="108"/>
      <c r="B683" s="108"/>
      <c r="C683" s="108"/>
    </row>
    <row r="684">
      <c r="A684" s="108"/>
      <c r="B684" s="108"/>
      <c r="C684" s="108"/>
    </row>
    <row r="685">
      <c r="A685" s="108"/>
      <c r="B685" s="108"/>
      <c r="C685" s="108"/>
    </row>
    <row r="686">
      <c r="A686" s="108"/>
      <c r="B686" s="108"/>
      <c r="C686" s="108"/>
    </row>
    <row r="687">
      <c r="A687" s="108"/>
      <c r="B687" s="108"/>
      <c r="C687" s="108"/>
    </row>
    <row r="688">
      <c r="A688" s="108"/>
      <c r="B688" s="108"/>
      <c r="C688" s="108"/>
    </row>
    <row r="689">
      <c r="A689" s="108"/>
      <c r="B689" s="108"/>
      <c r="C689" s="108"/>
    </row>
    <row r="690">
      <c r="A690" s="108"/>
      <c r="B690" s="108"/>
      <c r="C690" s="108"/>
    </row>
    <row r="691">
      <c r="A691" s="108"/>
      <c r="B691" s="108"/>
      <c r="C691" s="108"/>
    </row>
    <row r="692">
      <c r="A692" s="108"/>
      <c r="B692" s="108"/>
      <c r="C692" s="108"/>
    </row>
    <row r="693">
      <c r="A693" s="108"/>
      <c r="B693" s="108"/>
      <c r="C693" s="108"/>
    </row>
    <row r="694">
      <c r="A694" s="108"/>
      <c r="B694" s="108"/>
      <c r="C694" s="108"/>
    </row>
    <row r="695">
      <c r="A695" s="108"/>
      <c r="B695" s="108"/>
      <c r="C695" s="108"/>
    </row>
    <row r="696">
      <c r="A696" s="108"/>
      <c r="B696" s="108"/>
      <c r="C696" s="108"/>
    </row>
    <row r="697">
      <c r="A697" s="108"/>
      <c r="B697" s="108"/>
      <c r="C697" s="108"/>
    </row>
    <row r="698">
      <c r="A698" s="108"/>
      <c r="B698" s="108"/>
      <c r="C698" s="108"/>
    </row>
    <row r="699">
      <c r="A699" s="108"/>
      <c r="B699" s="108"/>
      <c r="C699" s="108"/>
    </row>
    <row r="700">
      <c r="A700" s="108"/>
      <c r="B700" s="108"/>
      <c r="C700" s="108"/>
    </row>
    <row r="701">
      <c r="A701" s="108"/>
      <c r="B701" s="108"/>
      <c r="C701" s="108"/>
    </row>
    <row r="702">
      <c r="A702" s="108"/>
      <c r="B702" s="108"/>
      <c r="C702" s="108"/>
    </row>
    <row r="703">
      <c r="A703" s="108"/>
      <c r="B703" s="108"/>
      <c r="C703" s="108"/>
    </row>
    <row r="704">
      <c r="A704" s="108"/>
      <c r="B704" s="108"/>
      <c r="C704" s="108"/>
    </row>
    <row r="705">
      <c r="A705" s="108"/>
      <c r="B705" s="108"/>
      <c r="C705" s="108"/>
    </row>
    <row r="706">
      <c r="A706" s="108"/>
      <c r="B706" s="108"/>
      <c r="C706" s="108"/>
    </row>
    <row r="707">
      <c r="A707" s="108"/>
      <c r="B707" s="108"/>
      <c r="C707" s="108"/>
    </row>
    <row r="708">
      <c r="A708" s="108"/>
      <c r="B708" s="108"/>
      <c r="C708" s="108"/>
    </row>
    <row r="709">
      <c r="A709" s="108"/>
      <c r="B709" s="108"/>
      <c r="C709" s="108"/>
    </row>
    <row r="710">
      <c r="A710" s="108"/>
      <c r="B710" s="108"/>
      <c r="C710" s="108"/>
    </row>
    <row r="711">
      <c r="A711" s="108"/>
      <c r="B711" s="108"/>
      <c r="C711" s="108"/>
    </row>
    <row r="712">
      <c r="A712" s="108"/>
      <c r="B712" s="108"/>
      <c r="C712" s="108"/>
    </row>
    <row r="713">
      <c r="A713" s="108"/>
      <c r="B713" s="108"/>
      <c r="C713" s="108"/>
    </row>
    <row r="714">
      <c r="A714" s="108"/>
      <c r="B714" s="108"/>
      <c r="C714" s="108"/>
    </row>
    <row r="715">
      <c r="A715" s="108"/>
      <c r="B715" s="108"/>
      <c r="C715" s="108"/>
    </row>
    <row r="716">
      <c r="A716" s="108"/>
      <c r="B716" s="108"/>
      <c r="C716" s="108"/>
    </row>
    <row r="717">
      <c r="A717" s="108"/>
      <c r="B717" s="108"/>
      <c r="C717" s="108"/>
    </row>
    <row r="718">
      <c r="A718" s="108"/>
      <c r="B718" s="108"/>
      <c r="C718" s="108"/>
    </row>
    <row r="719">
      <c r="A719" s="108"/>
      <c r="B719" s="108"/>
      <c r="C719" s="108"/>
    </row>
    <row r="720">
      <c r="A720" s="108"/>
      <c r="B720" s="108"/>
      <c r="C720" s="108"/>
    </row>
    <row r="721">
      <c r="A721" s="108"/>
      <c r="B721" s="108"/>
      <c r="C721" s="108"/>
    </row>
    <row r="722">
      <c r="A722" s="108"/>
      <c r="B722" s="108"/>
      <c r="C722" s="108"/>
    </row>
    <row r="723">
      <c r="A723" s="108"/>
      <c r="B723" s="108"/>
      <c r="C723" s="108"/>
    </row>
    <row r="724">
      <c r="A724" s="108"/>
      <c r="B724" s="108"/>
      <c r="C724" s="108"/>
    </row>
    <row r="725">
      <c r="A725" s="108"/>
      <c r="B725" s="108"/>
      <c r="C725" s="108"/>
    </row>
    <row r="726">
      <c r="A726" s="108"/>
      <c r="B726" s="108"/>
      <c r="C726" s="108"/>
    </row>
    <row r="727">
      <c r="A727" s="108"/>
      <c r="B727" s="108"/>
      <c r="C727" s="108"/>
    </row>
    <row r="728">
      <c r="A728" s="108"/>
      <c r="B728" s="108"/>
      <c r="C728" s="108"/>
    </row>
    <row r="729">
      <c r="A729" s="108"/>
      <c r="B729" s="108"/>
      <c r="C729" s="108"/>
    </row>
    <row r="730">
      <c r="A730" s="108"/>
      <c r="B730" s="108"/>
      <c r="C730" s="108"/>
    </row>
    <row r="731">
      <c r="A731" s="108"/>
      <c r="B731" s="108"/>
      <c r="C731" s="108"/>
    </row>
    <row r="732">
      <c r="A732" s="108"/>
      <c r="B732" s="108"/>
      <c r="C732" s="108"/>
    </row>
    <row r="733">
      <c r="A733" s="108"/>
      <c r="B733" s="108"/>
      <c r="C733" s="108"/>
    </row>
    <row r="734">
      <c r="A734" s="108"/>
      <c r="B734" s="108"/>
      <c r="C734" s="108"/>
    </row>
    <row r="735">
      <c r="A735" s="108"/>
      <c r="B735" s="108"/>
      <c r="C735" s="108"/>
    </row>
    <row r="736">
      <c r="A736" s="108"/>
      <c r="B736" s="108"/>
      <c r="C736" s="108"/>
    </row>
    <row r="737">
      <c r="A737" s="108"/>
      <c r="B737" s="108"/>
      <c r="C737" s="108"/>
    </row>
    <row r="738">
      <c r="A738" s="108"/>
      <c r="B738" s="108"/>
      <c r="C738" s="108"/>
    </row>
    <row r="739">
      <c r="A739" s="108"/>
      <c r="B739" s="108"/>
      <c r="C739" s="108"/>
    </row>
    <row r="740">
      <c r="A740" s="108"/>
      <c r="B740" s="108"/>
      <c r="C740" s="108"/>
    </row>
    <row r="741">
      <c r="A741" s="108"/>
      <c r="B741" s="108"/>
      <c r="C741" s="108"/>
    </row>
    <row r="742">
      <c r="A742" s="108"/>
      <c r="B742" s="108"/>
      <c r="C742" s="108"/>
    </row>
    <row r="743">
      <c r="A743" s="108"/>
      <c r="B743" s="108"/>
      <c r="C743" s="108"/>
    </row>
    <row r="744">
      <c r="A744" s="108"/>
      <c r="B744" s="108"/>
      <c r="C744" s="108"/>
    </row>
    <row r="745">
      <c r="A745" s="108"/>
      <c r="B745" s="108"/>
      <c r="C745" s="108"/>
    </row>
    <row r="746">
      <c r="A746" s="108"/>
      <c r="B746" s="108"/>
      <c r="C746" s="108"/>
    </row>
    <row r="747">
      <c r="A747" s="108"/>
      <c r="B747" s="108"/>
      <c r="C747" s="108"/>
    </row>
    <row r="748">
      <c r="A748" s="108"/>
      <c r="B748" s="108"/>
      <c r="C748" s="108"/>
    </row>
    <row r="749">
      <c r="A749" s="108"/>
      <c r="B749" s="108"/>
      <c r="C749" s="108"/>
    </row>
    <row r="750">
      <c r="A750" s="108"/>
      <c r="B750" s="108"/>
      <c r="C750" s="108"/>
    </row>
    <row r="751">
      <c r="A751" s="108"/>
      <c r="B751" s="108"/>
      <c r="C751" s="108"/>
    </row>
    <row r="752">
      <c r="A752" s="108"/>
      <c r="B752" s="108"/>
      <c r="C752" s="108"/>
    </row>
    <row r="753">
      <c r="A753" s="108"/>
      <c r="B753" s="108"/>
      <c r="C753" s="108"/>
    </row>
    <row r="754">
      <c r="A754" s="108"/>
      <c r="B754" s="108"/>
      <c r="C754" s="108"/>
    </row>
    <row r="755">
      <c r="A755" s="108"/>
      <c r="B755" s="108"/>
      <c r="C755" s="108"/>
    </row>
    <row r="756">
      <c r="A756" s="108"/>
      <c r="B756" s="108"/>
      <c r="C756" s="108"/>
    </row>
    <row r="757">
      <c r="A757" s="108"/>
      <c r="B757" s="108"/>
      <c r="C757" s="108"/>
    </row>
    <row r="758">
      <c r="A758" s="108"/>
      <c r="B758" s="108"/>
      <c r="C758" s="108"/>
    </row>
    <row r="759">
      <c r="A759" s="108"/>
      <c r="B759" s="108"/>
      <c r="C759" s="108"/>
    </row>
    <row r="760">
      <c r="A760" s="108"/>
      <c r="B760" s="108"/>
      <c r="C760" s="108"/>
    </row>
    <row r="761">
      <c r="A761" s="108"/>
      <c r="B761" s="108"/>
      <c r="C761" s="108"/>
    </row>
    <row r="762">
      <c r="A762" s="108"/>
      <c r="B762" s="108"/>
      <c r="C762" s="108"/>
    </row>
    <row r="763">
      <c r="A763" s="108"/>
      <c r="B763" s="108"/>
      <c r="C763" s="108"/>
    </row>
    <row r="764">
      <c r="A764" s="108"/>
      <c r="B764" s="108"/>
      <c r="C764" s="108"/>
    </row>
    <row r="765">
      <c r="A765" s="108"/>
      <c r="B765" s="108"/>
      <c r="C765" s="108"/>
    </row>
    <row r="766">
      <c r="A766" s="108"/>
      <c r="B766" s="108"/>
      <c r="C766" s="108"/>
    </row>
    <row r="767">
      <c r="A767" s="108"/>
      <c r="B767" s="108"/>
      <c r="C767" s="108"/>
    </row>
    <row r="768">
      <c r="A768" s="108"/>
      <c r="B768" s="108"/>
      <c r="C768" s="108"/>
    </row>
    <row r="769">
      <c r="A769" s="108"/>
      <c r="B769" s="108"/>
      <c r="C769" s="108"/>
    </row>
    <row r="770">
      <c r="A770" s="108"/>
      <c r="B770" s="108"/>
      <c r="C770" s="108"/>
    </row>
    <row r="771">
      <c r="A771" s="108"/>
      <c r="B771" s="108"/>
      <c r="C771" s="108"/>
    </row>
    <row r="772">
      <c r="A772" s="108"/>
      <c r="B772" s="108"/>
      <c r="C772" s="108"/>
    </row>
    <row r="773">
      <c r="A773" s="108"/>
      <c r="B773" s="108"/>
      <c r="C773" s="108"/>
    </row>
    <row r="774">
      <c r="A774" s="108"/>
      <c r="B774" s="108"/>
      <c r="C774" s="108"/>
    </row>
    <row r="775">
      <c r="A775" s="108"/>
      <c r="B775" s="108"/>
      <c r="C775" s="108"/>
    </row>
    <row r="776">
      <c r="A776" s="108"/>
      <c r="B776" s="108"/>
      <c r="C776" s="108"/>
    </row>
    <row r="777">
      <c r="A777" s="108"/>
      <c r="B777" s="108"/>
      <c r="C777" s="108"/>
    </row>
    <row r="778">
      <c r="A778" s="108"/>
      <c r="B778" s="108"/>
      <c r="C778" s="108"/>
    </row>
    <row r="779">
      <c r="A779" s="108"/>
      <c r="B779" s="108"/>
      <c r="C779" s="108"/>
    </row>
    <row r="780">
      <c r="A780" s="108"/>
      <c r="B780" s="108"/>
      <c r="C780" s="108"/>
    </row>
    <row r="781">
      <c r="A781" s="108"/>
      <c r="B781" s="108"/>
      <c r="C781" s="108"/>
    </row>
    <row r="782">
      <c r="A782" s="108"/>
      <c r="B782" s="108"/>
      <c r="C782" s="108"/>
    </row>
    <row r="783">
      <c r="A783" s="108"/>
      <c r="B783" s="108"/>
      <c r="C783" s="108"/>
    </row>
    <row r="784">
      <c r="A784" s="108"/>
      <c r="B784" s="108"/>
      <c r="C784" s="108"/>
    </row>
    <row r="785">
      <c r="A785" s="108"/>
      <c r="B785" s="108"/>
      <c r="C785" s="108"/>
    </row>
    <row r="786">
      <c r="A786" s="108"/>
      <c r="B786" s="108"/>
      <c r="C786" s="108"/>
    </row>
    <row r="787">
      <c r="A787" s="108"/>
      <c r="B787" s="108"/>
      <c r="C787" s="108"/>
    </row>
    <row r="788">
      <c r="A788" s="108"/>
      <c r="B788" s="108"/>
      <c r="C788" s="108"/>
    </row>
    <row r="789">
      <c r="A789" s="108"/>
      <c r="B789" s="108"/>
      <c r="C789" s="108"/>
    </row>
    <row r="790">
      <c r="A790" s="108"/>
      <c r="B790" s="108"/>
      <c r="C790" s="108"/>
    </row>
    <row r="791">
      <c r="A791" s="108"/>
      <c r="B791" s="108"/>
      <c r="C791" s="108"/>
    </row>
    <row r="792">
      <c r="A792" s="108"/>
      <c r="B792" s="108"/>
      <c r="C792" s="108"/>
    </row>
    <row r="793">
      <c r="A793" s="108"/>
      <c r="B793" s="108"/>
      <c r="C793" s="108"/>
    </row>
    <row r="794">
      <c r="A794" s="108"/>
      <c r="B794" s="108"/>
      <c r="C794" s="108"/>
    </row>
    <row r="795">
      <c r="A795" s="108"/>
      <c r="B795" s="108"/>
      <c r="C795" s="108"/>
    </row>
    <row r="796">
      <c r="A796" s="108"/>
      <c r="B796" s="108"/>
      <c r="C796" s="108"/>
    </row>
    <row r="797">
      <c r="A797" s="108"/>
      <c r="B797" s="108"/>
      <c r="C797" s="108"/>
    </row>
    <row r="798">
      <c r="A798" s="108"/>
      <c r="B798" s="108"/>
      <c r="C798" s="108"/>
    </row>
    <row r="799">
      <c r="A799" s="108"/>
      <c r="B799" s="108"/>
      <c r="C799" s="108"/>
    </row>
    <row r="800">
      <c r="A800" s="108"/>
      <c r="B800" s="108"/>
      <c r="C800" s="108"/>
    </row>
    <row r="801">
      <c r="A801" s="108"/>
      <c r="B801" s="108"/>
      <c r="C801" s="108"/>
    </row>
    <row r="802">
      <c r="A802" s="108"/>
      <c r="B802" s="108"/>
      <c r="C802" s="108"/>
    </row>
    <row r="803">
      <c r="A803" s="108"/>
      <c r="B803" s="108"/>
      <c r="C803" s="108"/>
    </row>
    <row r="804">
      <c r="A804" s="108"/>
      <c r="B804" s="108"/>
      <c r="C804" s="108"/>
    </row>
    <row r="805">
      <c r="A805" s="108"/>
      <c r="B805" s="108"/>
      <c r="C805" s="108"/>
    </row>
    <row r="806">
      <c r="A806" s="108"/>
      <c r="B806" s="108"/>
      <c r="C806" s="108"/>
    </row>
    <row r="807">
      <c r="A807" s="108"/>
      <c r="B807" s="108"/>
      <c r="C807" s="108"/>
    </row>
    <row r="808">
      <c r="A808" s="108"/>
      <c r="B808" s="108"/>
      <c r="C808" s="108"/>
    </row>
    <row r="809">
      <c r="A809" s="108"/>
      <c r="B809" s="108"/>
      <c r="C809" s="108"/>
    </row>
    <row r="810">
      <c r="A810" s="108"/>
      <c r="B810" s="108"/>
      <c r="C810" s="108"/>
    </row>
    <row r="811">
      <c r="A811" s="108"/>
      <c r="B811" s="108"/>
      <c r="C811" s="108"/>
    </row>
    <row r="812">
      <c r="A812" s="108"/>
      <c r="B812" s="108"/>
      <c r="C812" s="108"/>
    </row>
    <row r="813">
      <c r="A813" s="108"/>
      <c r="B813" s="108"/>
      <c r="C813" s="108"/>
    </row>
    <row r="814">
      <c r="A814" s="108"/>
      <c r="B814" s="108"/>
      <c r="C814" s="108"/>
    </row>
    <row r="815">
      <c r="A815" s="108"/>
      <c r="B815" s="108"/>
      <c r="C815" s="108"/>
    </row>
    <row r="816">
      <c r="A816" s="108"/>
      <c r="B816" s="108"/>
      <c r="C816" s="108"/>
    </row>
    <row r="817">
      <c r="A817" s="108"/>
      <c r="B817" s="108"/>
      <c r="C817" s="108"/>
    </row>
    <row r="818">
      <c r="A818" s="108"/>
      <c r="B818" s="108"/>
      <c r="C818" s="108"/>
    </row>
    <row r="819">
      <c r="A819" s="108"/>
      <c r="B819" s="108"/>
      <c r="C819" s="108"/>
    </row>
    <row r="820">
      <c r="A820" s="108"/>
      <c r="B820" s="108"/>
      <c r="C820" s="108"/>
    </row>
    <row r="821">
      <c r="A821" s="108"/>
      <c r="B821" s="108"/>
      <c r="C821" s="108"/>
    </row>
    <row r="822">
      <c r="A822" s="108"/>
      <c r="B822" s="108"/>
      <c r="C822" s="108"/>
    </row>
    <row r="823">
      <c r="A823" s="108"/>
      <c r="B823" s="108"/>
      <c r="C823" s="108"/>
    </row>
    <row r="824">
      <c r="A824" s="108"/>
      <c r="B824" s="108"/>
      <c r="C824" s="108"/>
    </row>
    <row r="825">
      <c r="A825" s="108"/>
      <c r="B825" s="108"/>
      <c r="C825" s="108"/>
    </row>
    <row r="826">
      <c r="A826" s="108"/>
      <c r="B826" s="108"/>
      <c r="C826" s="108"/>
    </row>
    <row r="827">
      <c r="A827" s="108"/>
      <c r="B827" s="108"/>
      <c r="C827" s="108"/>
    </row>
    <row r="828">
      <c r="A828" s="108"/>
      <c r="B828" s="108"/>
      <c r="C828" s="108"/>
    </row>
    <row r="829">
      <c r="A829" s="108"/>
      <c r="B829" s="108"/>
      <c r="C829" s="108"/>
    </row>
    <row r="830">
      <c r="A830" s="108"/>
      <c r="B830" s="108"/>
      <c r="C830" s="108"/>
    </row>
    <row r="831">
      <c r="A831" s="108"/>
      <c r="B831" s="108"/>
      <c r="C831" s="108"/>
    </row>
    <row r="832">
      <c r="A832" s="108"/>
      <c r="B832" s="108"/>
      <c r="C832" s="108"/>
    </row>
    <row r="833">
      <c r="A833" s="108"/>
      <c r="B833" s="108"/>
      <c r="C833" s="108"/>
    </row>
    <row r="834">
      <c r="A834" s="108"/>
      <c r="B834" s="108"/>
      <c r="C834" s="108"/>
    </row>
    <row r="835">
      <c r="A835" s="108"/>
      <c r="B835" s="108"/>
      <c r="C835" s="108"/>
    </row>
    <row r="836">
      <c r="A836" s="108"/>
      <c r="B836" s="108"/>
      <c r="C836" s="108"/>
    </row>
    <row r="837">
      <c r="A837" s="108"/>
      <c r="B837" s="108"/>
      <c r="C837" s="108"/>
    </row>
    <row r="838">
      <c r="A838" s="108"/>
      <c r="B838" s="108"/>
      <c r="C838" s="108"/>
    </row>
    <row r="839">
      <c r="A839" s="108"/>
      <c r="B839" s="108"/>
      <c r="C839" s="108"/>
    </row>
    <row r="840">
      <c r="A840" s="108"/>
      <c r="B840" s="108"/>
      <c r="C840" s="108"/>
    </row>
    <row r="841">
      <c r="A841" s="108"/>
      <c r="B841" s="108"/>
      <c r="C841" s="108"/>
    </row>
    <row r="842">
      <c r="A842" s="108"/>
      <c r="B842" s="108"/>
      <c r="C842" s="108"/>
    </row>
    <row r="843">
      <c r="A843" s="108"/>
      <c r="B843" s="108"/>
      <c r="C843" s="108"/>
    </row>
    <row r="844">
      <c r="A844" s="108"/>
      <c r="B844" s="108"/>
      <c r="C844" s="108"/>
    </row>
    <row r="845">
      <c r="A845" s="108"/>
      <c r="B845" s="108"/>
      <c r="C845" s="108"/>
    </row>
    <row r="846">
      <c r="A846" s="108"/>
      <c r="B846" s="108"/>
      <c r="C846" s="108"/>
    </row>
    <row r="847">
      <c r="A847" s="108"/>
      <c r="B847" s="108"/>
      <c r="C847" s="108"/>
    </row>
    <row r="848">
      <c r="A848" s="108"/>
      <c r="B848" s="108"/>
      <c r="C848" s="108"/>
    </row>
    <row r="849">
      <c r="A849" s="108"/>
      <c r="B849" s="108"/>
      <c r="C849" s="108"/>
    </row>
    <row r="850">
      <c r="A850" s="108"/>
      <c r="B850" s="108"/>
      <c r="C850" s="108"/>
    </row>
    <row r="851">
      <c r="A851" s="108"/>
      <c r="B851" s="108"/>
      <c r="C851" s="108"/>
    </row>
    <row r="852">
      <c r="A852" s="108"/>
      <c r="B852" s="108"/>
      <c r="C852" s="108"/>
    </row>
    <row r="853">
      <c r="A853" s="108"/>
      <c r="B853" s="108"/>
      <c r="C853" s="108"/>
    </row>
    <row r="854">
      <c r="A854" s="108"/>
      <c r="B854" s="108"/>
      <c r="C854" s="108"/>
    </row>
    <row r="855">
      <c r="A855" s="108"/>
      <c r="B855" s="108"/>
      <c r="C855" s="108"/>
    </row>
    <row r="856">
      <c r="A856" s="108"/>
      <c r="B856" s="108"/>
      <c r="C856" s="108"/>
    </row>
    <row r="857">
      <c r="A857" s="108"/>
      <c r="B857" s="108"/>
      <c r="C857" s="108"/>
    </row>
    <row r="858">
      <c r="A858" s="108"/>
      <c r="B858" s="108"/>
      <c r="C858" s="108"/>
    </row>
    <row r="859">
      <c r="A859" s="108"/>
      <c r="B859" s="108"/>
      <c r="C859" s="108"/>
    </row>
    <row r="860">
      <c r="A860" s="108"/>
      <c r="B860" s="108"/>
      <c r="C860" s="108"/>
    </row>
    <row r="861">
      <c r="A861" s="108"/>
      <c r="B861" s="108"/>
      <c r="C861" s="108"/>
    </row>
    <row r="862">
      <c r="A862" s="108"/>
      <c r="B862" s="108"/>
      <c r="C862" s="108"/>
    </row>
    <row r="863">
      <c r="A863" s="108"/>
      <c r="B863" s="108"/>
      <c r="C863" s="108"/>
    </row>
    <row r="864">
      <c r="A864" s="108"/>
      <c r="B864" s="108"/>
      <c r="C864" s="108"/>
    </row>
    <row r="865">
      <c r="A865" s="108"/>
      <c r="B865" s="108"/>
      <c r="C865" s="108"/>
    </row>
    <row r="866">
      <c r="A866" s="108"/>
      <c r="B866" s="108"/>
      <c r="C866" s="108"/>
    </row>
    <row r="867">
      <c r="A867" s="108"/>
      <c r="B867" s="108"/>
      <c r="C867" s="108"/>
    </row>
    <row r="868">
      <c r="A868" s="108"/>
      <c r="B868" s="108"/>
      <c r="C868" s="108"/>
    </row>
    <row r="869">
      <c r="A869" s="108"/>
      <c r="B869" s="108"/>
      <c r="C869" s="108"/>
    </row>
    <row r="870">
      <c r="A870" s="108"/>
      <c r="B870" s="108"/>
      <c r="C870" s="108"/>
    </row>
    <row r="871">
      <c r="A871" s="108"/>
      <c r="B871" s="108"/>
      <c r="C871" s="108"/>
    </row>
    <row r="872">
      <c r="A872" s="108"/>
      <c r="B872" s="108"/>
      <c r="C872" s="108"/>
    </row>
    <row r="873">
      <c r="A873" s="108"/>
      <c r="B873" s="108"/>
      <c r="C873" s="108"/>
    </row>
    <row r="874">
      <c r="A874" s="108"/>
      <c r="B874" s="108"/>
      <c r="C874" s="108"/>
    </row>
    <row r="875">
      <c r="A875" s="108"/>
      <c r="B875" s="108"/>
      <c r="C875" s="108"/>
    </row>
    <row r="876">
      <c r="A876" s="108"/>
      <c r="B876" s="108"/>
      <c r="C876" s="108"/>
    </row>
    <row r="877">
      <c r="A877" s="108"/>
      <c r="B877" s="108"/>
      <c r="C877" s="108"/>
    </row>
    <row r="878">
      <c r="A878" s="108"/>
      <c r="B878" s="108"/>
      <c r="C878" s="108"/>
    </row>
    <row r="879">
      <c r="A879" s="108"/>
      <c r="B879" s="108"/>
      <c r="C879" s="108"/>
    </row>
    <row r="880">
      <c r="A880" s="108"/>
      <c r="B880" s="108"/>
      <c r="C880" s="108"/>
    </row>
    <row r="881">
      <c r="A881" s="108"/>
      <c r="B881" s="108"/>
      <c r="C881" s="108"/>
    </row>
    <row r="882">
      <c r="A882" s="108"/>
      <c r="B882" s="108"/>
      <c r="C882" s="108"/>
    </row>
    <row r="883">
      <c r="A883" s="108"/>
      <c r="B883" s="108"/>
      <c r="C883" s="108"/>
    </row>
    <row r="884">
      <c r="A884" s="108"/>
      <c r="B884" s="108"/>
      <c r="C884" s="108"/>
    </row>
    <row r="885">
      <c r="A885" s="108"/>
      <c r="B885" s="108"/>
      <c r="C885" s="108"/>
    </row>
    <row r="886">
      <c r="A886" s="108"/>
      <c r="B886" s="108"/>
      <c r="C886" s="108"/>
    </row>
    <row r="887">
      <c r="A887" s="108"/>
      <c r="B887" s="108"/>
      <c r="C887" s="108"/>
    </row>
    <row r="888">
      <c r="A888" s="108"/>
      <c r="B888" s="108"/>
      <c r="C888" s="108"/>
    </row>
    <row r="889">
      <c r="A889" s="108"/>
      <c r="B889" s="108"/>
      <c r="C889" s="108"/>
    </row>
    <row r="890">
      <c r="A890" s="108"/>
      <c r="B890" s="108"/>
      <c r="C890" s="108"/>
    </row>
    <row r="891">
      <c r="A891" s="108"/>
      <c r="B891" s="108"/>
      <c r="C891" s="108"/>
    </row>
    <row r="892">
      <c r="A892" s="108"/>
      <c r="B892" s="108"/>
      <c r="C892" s="108"/>
    </row>
    <row r="893">
      <c r="A893" s="108"/>
      <c r="B893" s="108"/>
      <c r="C893" s="108"/>
    </row>
    <row r="894">
      <c r="A894" s="108"/>
      <c r="B894" s="108"/>
      <c r="C894" s="108"/>
    </row>
    <row r="895">
      <c r="A895" s="108"/>
      <c r="B895" s="108"/>
      <c r="C895" s="108"/>
    </row>
    <row r="896">
      <c r="A896" s="108"/>
      <c r="B896" s="108"/>
      <c r="C896" s="108"/>
    </row>
    <row r="897">
      <c r="A897" s="108"/>
      <c r="B897" s="108"/>
      <c r="C897" s="108"/>
    </row>
    <row r="898">
      <c r="A898" s="108"/>
      <c r="B898" s="108"/>
      <c r="C898" s="108"/>
    </row>
    <row r="899">
      <c r="A899" s="108"/>
      <c r="B899" s="108"/>
      <c r="C899" s="108"/>
    </row>
    <row r="900">
      <c r="A900" s="108"/>
      <c r="B900" s="108"/>
      <c r="C900" s="108"/>
    </row>
    <row r="901">
      <c r="A901" s="108"/>
      <c r="B901" s="108"/>
      <c r="C901" s="108"/>
    </row>
    <row r="902">
      <c r="A902" s="108"/>
      <c r="B902" s="108"/>
      <c r="C902" s="108"/>
    </row>
    <row r="903">
      <c r="A903" s="108"/>
      <c r="B903" s="108"/>
      <c r="C903" s="108"/>
    </row>
    <row r="904">
      <c r="A904" s="108"/>
      <c r="B904" s="108"/>
      <c r="C904" s="108"/>
    </row>
    <row r="905">
      <c r="A905" s="108"/>
      <c r="B905" s="108"/>
      <c r="C905" s="108"/>
    </row>
    <row r="906">
      <c r="A906" s="108"/>
      <c r="B906" s="108"/>
      <c r="C906" s="108"/>
    </row>
    <row r="907">
      <c r="A907" s="108"/>
      <c r="B907" s="108"/>
      <c r="C907" s="108"/>
    </row>
    <row r="908">
      <c r="A908" s="108"/>
      <c r="B908" s="108"/>
      <c r="C908" s="108"/>
    </row>
    <row r="909">
      <c r="A909" s="108"/>
      <c r="B909" s="108"/>
      <c r="C909" s="108"/>
    </row>
    <row r="910">
      <c r="A910" s="108"/>
      <c r="B910" s="108"/>
      <c r="C910" s="108"/>
    </row>
    <row r="911">
      <c r="A911" s="108"/>
      <c r="B911" s="108"/>
      <c r="C911" s="108"/>
    </row>
    <row r="912">
      <c r="A912" s="108"/>
      <c r="B912" s="108"/>
      <c r="C912" s="108"/>
    </row>
    <row r="913">
      <c r="A913" s="108"/>
      <c r="B913" s="108"/>
      <c r="C913" s="108"/>
    </row>
    <row r="914">
      <c r="A914" s="108"/>
      <c r="B914" s="108"/>
      <c r="C914" s="108"/>
    </row>
    <row r="915">
      <c r="A915" s="108"/>
      <c r="B915" s="108"/>
      <c r="C915" s="108"/>
    </row>
    <row r="916">
      <c r="A916" s="108"/>
      <c r="B916" s="108"/>
      <c r="C916" s="108"/>
    </row>
    <row r="917">
      <c r="A917" s="108"/>
      <c r="B917" s="108"/>
      <c r="C917" s="108"/>
    </row>
    <row r="918">
      <c r="A918" s="108"/>
      <c r="B918" s="108"/>
      <c r="C918" s="108"/>
    </row>
    <row r="919">
      <c r="A919" s="108"/>
      <c r="B919" s="108"/>
      <c r="C919" s="108"/>
    </row>
    <row r="920">
      <c r="A920" s="108"/>
      <c r="B920" s="108"/>
      <c r="C920" s="108"/>
    </row>
    <row r="921">
      <c r="A921" s="108"/>
      <c r="B921" s="108"/>
      <c r="C921" s="108"/>
    </row>
    <row r="922">
      <c r="A922" s="108"/>
      <c r="B922" s="108"/>
      <c r="C922" s="108"/>
    </row>
    <row r="923">
      <c r="A923" s="108"/>
      <c r="B923" s="108"/>
      <c r="C923" s="108"/>
    </row>
    <row r="924">
      <c r="A924" s="108"/>
      <c r="B924" s="108"/>
      <c r="C924" s="108"/>
    </row>
    <row r="925">
      <c r="A925" s="108"/>
      <c r="B925" s="108"/>
      <c r="C925" s="108"/>
    </row>
    <row r="926">
      <c r="A926" s="108"/>
      <c r="B926" s="108"/>
      <c r="C926" s="108"/>
    </row>
    <row r="927">
      <c r="A927" s="108"/>
      <c r="B927" s="108"/>
      <c r="C927" s="108"/>
    </row>
    <row r="928">
      <c r="A928" s="108"/>
      <c r="B928" s="108"/>
      <c r="C928" s="108"/>
    </row>
    <row r="929">
      <c r="A929" s="108"/>
      <c r="B929" s="108"/>
      <c r="C929" s="108"/>
    </row>
    <row r="930">
      <c r="A930" s="108"/>
      <c r="B930" s="108"/>
      <c r="C930" s="108"/>
    </row>
    <row r="931">
      <c r="A931" s="108"/>
      <c r="B931" s="108"/>
      <c r="C931" s="108"/>
    </row>
    <row r="932">
      <c r="A932" s="108"/>
      <c r="B932" s="108"/>
      <c r="C932" s="108"/>
    </row>
    <row r="933">
      <c r="A933" s="108"/>
      <c r="B933" s="108"/>
      <c r="C933" s="108"/>
    </row>
    <row r="934">
      <c r="A934" s="108"/>
      <c r="B934" s="108"/>
      <c r="C934" s="108"/>
    </row>
    <row r="935">
      <c r="A935" s="108"/>
      <c r="B935" s="108"/>
      <c r="C935" s="108"/>
    </row>
    <row r="936">
      <c r="A936" s="108"/>
      <c r="B936" s="108"/>
      <c r="C936" s="108"/>
    </row>
    <row r="937">
      <c r="A937" s="108"/>
      <c r="B937" s="108"/>
      <c r="C937" s="108"/>
    </row>
    <row r="938">
      <c r="A938" s="108"/>
      <c r="B938" s="108"/>
      <c r="C938" s="108"/>
    </row>
    <row r="939">
      <c r="A939" s="108"/>
      <c r="B939" s="108"/>
      <c r="C939" s="108"/>
    </row>
    <row r="940">
      <c r="A940" s="108"/>
      <c r="B940" s="108"/>
      <c r="C940" s="108"/>
    </row>
    <row r="941">
      <c r="A941" s="108"/>
      <c r="B941" s="108"/>
      <c r="C941" s="108"/>
    </row>
    <row r="942">
      <c r="A942" s="108"/>
      <c r="B942" s="108"/>
      <c r="C942" s="108"/>
    </row>
    <row r="943">
      <c r="A943" s="108"/>
      <c r="B943" s="108"/>
      <c r="C943" s="108"/>
    </row>
    <row r="944">
      <c r="A944" s="108"/>
      <c r="B944" s="108"/>
      <c r="C944" s="108"/>
    </row>
    <row r="945">
      <c r="A945" s="108"/>
      <c r="B945" s="108"/>
      <c r="C945" s="108"/>
    </row>
    <row r="946">
      <c r="A946" s="108"/>
      <c r="B946" s="108"/>
      <c r="C946" s="108"/>
    </row>
    <row r="947">
      <c r="A947" s="108"/>
      <c r="B947" s="108"/>
      <c r="C947" s="108"/>
    </row>
    <row r="948">
      <c r="A948" s="108"/>
      <c r="B948" s="108"/>
      <c r="C948" s="108"/>
    </row>
    <row r="949">
      <c r="A949" s="108"/>
      <c r="B949" s="108"/>
      <c r="C949" s="108"/>
    </row>
    <row r="950">
      <c r="A950" s="108"/>
      <c r="B950" s="108"/>
      <c r="C950" s="108"/>
    </row>
    <row r="951">
      <c r="A951" s="108"/>
      <c r="B951" s="108"/>
      <c r="C951" s="108"/>
    </row>
    <row r="952">
      <c r="A952" s="108"/>
      <c r="B952" s="108"/>
      <c r="C952" s="108"/>
    </row>
    <row r="953">
      <c r="A953" s="108"/>
      <c r="B953" s="108"/>
      <c r="C953" s="108"/>
    </row>
    <row r="954">
      <c r="A954" s="108"/>
      <c r="B954" s="108"/>
      <c r="C954" s="108"/>
    </row>
    <row r="955">
      <c r="A955" s="108"/>
      <c r="B955" s="108"/>
      <c r="C955" s="108"/>
    </row>
    <row r="956">
      <c r="A956" s="108"/>
      <c r="B956" s="108"/>
      <c r="C956" s="108"/>
    </row>
    <row r="957">
      <c r="A957" s="108"/>
      <c r="B957" s="108"/>
      <c r="C957" s="108"/>
    </row>
    <row r="958">
      <c r="A958" s="108"/>
      <c r="B958" s="108"/>
      <c r="C958" s="108"/>
    </row>
    <row r="959">
      <c r="A959" s="108"/>
      <c r="B959" s="108"/>
      <c r="C959" s="108"/>
    </row>
    <row r="960">
      <c r="A960" s="108"/>
      <c r="B960" s="108"/>
      <c r="C960" s="108"/>
    </row>
    <row r="961">
      <c r="A961" s="108"/>
      <c r="B961" s="108"/>
      <c r="C961" s="108"/>
    </row>
    <row r="962">
      <c r="A962" s="108"/>
      <c r="B962" s="108"/>
      <c r="C962" s="108"/>
    </row>
    <row r="963">
      <c r="A963" s="108"/>
      <c r="B963" s="108"/>
      <c r="C963" s="108"/>
    </row>
    <row r="964">
      <c r="A964" s="108"/>
      <c r="B964" s="108"/>
      <c r="C964" s="108"/>
    </row>
    <row r="965">
      <c r="A965" s="108"/>
      <c r="B965" s="108"/>
      <c r="C965" s="108"/>
    </row>
    <row r="966">
      <c r="A966" s="108"/>
      <c r="B966" s="108"/>
      <c r="C966" s="108"/>
    </row>
    <row r="967">
      <c r="A967" s="108"/>
      <c r="B967" s="108"/>
      <c r="C967" s="108"/>
    </row>
    <row r="968">
      <c r="A968" s="108"/>
      <c r="B968" s="108"/>
      <c r="C968" s="108"/>
    </row>
    <row r="969">
      <c r="A969" s="108"/>
      <c r="B969" s="108"/>
      <c r="C969" s="108"/>
    </row>
    <row r="970">
      <c r="A970" s="108"/>
      <c r="B970" s="108"/>
      <c r="C970" s="108"/>
    </row>
    <row r="971">
      <c r="A971" s="108"/>
      <c r="B971" s="108"/>
      <c r="C971" s="108"/>
    </row>
    <row r="972">
      <c r="A972" s="108"/>
      <c r="B972" s="108"/>
      <c r="C972" s="108"/>
    </row>
    <row r="973">
      <c r="A973" s="108"/>
      <c r="B973" s="108"/>
      <c r="C973" s="108"/>
    </row>
    <row r="974">
      <c r="A974" s="108"/>
      <c r="B974" s="108"/>
      <c r="C974" s="108"/>
    </row>
    <row r="975">
      <c r="A975" s="108"/>
      <c r="B975" s="108"/>
      <c r="C975" s="108"/>
    </row>
    <row r="976">
      <c r="A976" s="108"/>
      <c r="B976" s="108"/>
      <c r="C976" s="108"/>
    </row>
    <row r="977">
      <c r="A977" s="108"/>
      <c r="B977" s="108"/>
      <c r="C977" s="108"/>
    </row>
    <row r="978">
      <c r="A978" s="108"/>
      <c r="B978" s="108"/>
      <c r="C978" s="108"/>
    </row>
    <row r="979">
      <c r="A979" s="108"/>
      <c r="B979" s="108"/>
      <c r="C979" s="108"/>
    </row>
    <row r="980">
      <c r="A980" s="108"/>
      <c r="B980" s="108"/>
      <c r="C980" s="108"/>
    </row>
    <row r="981">
      <c r="A981" s="108"/>
      <c r="B981" s="108"/>
      <c r="C981" s="108"/>
    </row>
    <row r="982">
      <c r="A982" s="108"/>
      <c r="B982" s="108"/>
      <c r="C982" s="108"/>
    </row>
    <row r="983">
      <c r="A983" s="108"/>
      <c r="B983" s="108"/>
      <c r="C983" s="108"/>
    </row>
    <row r="984">
      <c r="A984" s="108"/>
      <c r="B984" s="108"/>
      <c r="C984" s="108"/>
    </row>
    <row r="985">
      <c r="A985" s="108"/>
      <c r="B985" s="108"/>
      <c r="C985" s="108"/>
    </row>
    <row r="986">
      <c r="A986" s="108"/>
      <c r="B986" s="108"/>
      <c r="C986" s="108"/>
    </row>
    <row r="987">
      <c r="A987" s="108"/>
      <c r="B987" s="108"/>
      <c r="C987" s="108"/>
    </row>
    <row r="988">
      <c r="A988" s="108"/>
      <c r="B988" s="108"/>
      <c r="C988" s="108"/>
    </row>
    <row r="989">
      <c r="A989" s="108"/>
      <c r="B989" s="108"/>
      <c r="C989" s="108"/>
    </row>
    <row r="990">
      <c r="A990" s="108"/>
      <c r="B990" s="108"/>
      <c r="C990" s="108"/>
    </row>
    <row r="991">
      <c r="A991" s="108"/>
      <c r="B991" s="108"/>
      <c r="C991" s="108"/>
    </row>
    <row r="992">
      <c r="A992" s="108"/>
      <c r="B992" s="108"/>
      <c r="C992" s="108"/>
    </row>
    <row r="993">
      <c r="A993" s="108"/>
      <c r="B993" s="108"/>
      <c r="C993" s="108"/>
    </row>
    <row r="994">
      <c r="A994" s="108"/>
      <c r="B994" s="108"/>
      <c r="C994" s="108"/>
    </row>
    <row r="995">
      <c r="A995" s="108"/>
      <c r="B995" s="108"/>
      <c r="C995" s="108"/>
    </row>
    <row r="996">
      <c r="A996" s="108"/>
      <c r="B996" s="108"/>
      <c r="C996" s="108"/>
    </row>
    <row r="997">
      <c r="A997" s="108"/>
      <c r="B997" s="108"/>
      <c r="C997" s="10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09"/>
      <c r="B4" s="10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6.25"/>
    <col customWidth="1" min="3" max="3" width="41.75"/>
    <col customWidth="1" min="4" max="4" width="54.0"/>
    <col customWidth="1" min="5" max="5" width="76.88"/>
  </cols>
  <sheetData>
    <row r="1">
      <c r="A1" s="110" t="s">
        <v>520</v>
      </c>
      <c r="B1" s="110"/>
      <c r="C1" s="110"/>
      <c r="D1" s="110"/>
      <c r="E1" s="110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>
      <c r="A2" s="112" t="s">
        <v>355</v>
      </c>
      <c r="B2" s="112" t="s">
        <v>521</v>
      </c>
      <c r="C2" s="112" t="s">
        <v>522</v>
      </c>
      <c r="D2" s="112" t="s">
        <v>523</v>
      </c>
      <c r="E2" s="112" t="s">
        <v>524</v>
      </c>
    </row>
    <row r="3">
      <c r="A3" s="113" t="s">
        <v>525</v>
      </c>
      <c r="B3" s="114">
        <v>0.5</v>
      </c>
      <c r="C3" s="115" t="s">
        <v>526</v>
      </c>
      <c r="D3" s="115" t="s">
        <v>527</v>
      </c>
      <c r="E3" s="115" t="s">
        <v>528</v>
      </c>
    </row>
    <row r="4">
      <c r="A4" s="116" t="s">
        <v>525</v>
      </c>
      <c r="B4" s="117">
        <v>0.5833333333333334</v>
      </c>
      <c r="C4" s="115" t="s">
        <v>529</v>
      </c>
      <c r="D4" s="118" t="s">
        <v>530</v>
      </c>
      <c r="E4" s="115" t="s">
        <v>528</v>
      </c>
    </row>
    <row r="5">
      <c r="A5" s="119" t="s">
        <v>531</v>
      </c>
      <c r="B5" s="120">
        <v>0.4166666666666667</v>
      </c>
      <c r="C5" s="119" t="s">
        <v>532</v>
      </c>
      <c r="D5" s="121" t="s">
        <v>533</v>
      </c>
      <c r="E5" s="122" t="s">
        <v>534</v>
      </c>
    </row>
    <row r="6">
      <c r="A6" s="123">
        <v>46116.0</v>
      </c>
      <c r="B6" s="124">
        <v>0.75</v>
      </c>
      <c r="C6" s="125" t="s">
        <v>408</v>
      </c>
      <c r="D6" s="125" t="s">
        <v>535</v>
      </c>
      <c r="E6" s="125" t="s">
        <v>536</v>
      </c>
    </row>
    <row r="7">
      <c r="A7" s="123">
        <v>46124.0</v>
      </c>
      <c r="B7" s="124">
        <v>0.75</v>
      </c>
      <c r="C7" s="126" t="s">
        <v>410</v>
      </c>
      <c r="D7" s="126" t="s">
        <v>537</v>
      </c>
      <c r="E7" s="126" t="s">
        <v>538</v>
      </c>
    </row>
    <row r="8">
      <c r="A8" s="123">
        <v>46128.0</v>
      </c>
      <c r="B8" s="124">
        <v>0.75</v>
      </c>
      <c r="C8" s="125" t="s">
        <v>539</v>
      </c>
      <c r="D8" s="125" t="s">
        <v>540</v>
      </c>
      <c r="E8" s="125" t="s">
        <v>541</v>
      </c>
    </row>
    <row r="9">
      <c r="A9" s="123">
        <v>46130.0</v>
      </c>
      <c r="B9" s="124">
        <v>0.75</v>
      </c>
      <c r="C9" s="126" t="s">
        <v>412</v>
      </c>
      <c r="D9" s="126" t="s">
        <v>542</v>
      </c>
      <c r="E9" s="126" t="s">
        <v>543</v>
      </c>
    </row>
    <row r="10">
      <c r="A10" s="123">
        <v>46134.0</v>
      </c>
      <c r="B10" s="124">
        <v>0.5</v>
      </c>
      <c r="C10" s="126" t="s">
        <v>411</v>
      </c>
      <c r="D10" s="126" t="s">
        <v>535</v>
      </c>
      <c r="E10" s="126" t="s">
        <v>536</v>
      </c>
    </row>
    <row r="11">
      <c r="A11" s="123">
        <v>46137.0</v>
      </c>
      <c r="B11" s="124">
        <v>0.5416666666666666</v>
      </c>
      <c r="C11" s="125" t="s">
        <v>371</v>
      </c>
      <c r="D11" s="125" t="s">
        <v>544</v>
      </c>
      <c r="E11" s="127" t="s">
        <v>545</v>
      </c>
    </row>
    <row r="12">
      <c r="A12" s="128"/>
      <c r="B12" s="128"/>
      <c r="C12" s="128"/>
      <c r="D12" s="128"/>
      <c r="E12" s="128"/>
    </row>
    <row r="13">
      <c r="A13" s="128"/>
      <c r="B13" s="128"/>
      <c r="C13" s="128"/>
      <c r="D13" s="128"/>
      <c r="E13" s="128"/>
    </row>
    <row r="14">
      <c r="A14" s="128"/>
      <c r="B14" s="128"/>
      <c r="C14" s="128"/>
      <c r="D14" s="128"/>
      <c r="E14" s="128"/>
    </row>
    <row r="15">
      <c r="A15" s="128"/>
      <c r="B15" s="128"/>
      <c r="C15" s="128"/>
      <c r="D15" s="128"/>
      <c r="E15" s="128"/>
    </row>
    <row r="16">
      <c r="A16" s="128"/>
      <c r="B16" s="128"/>
      <c r="C16" s="128"/>
      <c r="D16" s="128"/>
      <c r="E16" s="128"/>
    </row>
    <row r="18">
      <c r="A18" s="129" t="s">
        <v>355</v>
      </c>
      <c r="B18" s="129" t="s">
        <v>521</v>
      </c>
      <c r="C18" s="129" t="s">
        <v>522</v>
      </c>
      <c r="D18" s="129" t="s">
        <v>523</v>
      </c>
      <c r="E18" s="129" t="s">
        <v>524</v>
      </c>
    </row>
    <row r="19">
      <c r="A19" s="123">
        <v>46117.0</v>
      </c>
      <c r="B19" s="124">
        <v>0.75</v>
      </c>
      <c r="C19" s="130" t="s">
        <v>546</v>
      </c>
      <c r="D19" s="130" t="s">
        <v>535</v>
      </c>
      <c r="E19" s="130" t="s">
        <v>547</v>
      </c>
    </row>
    <row r="20">
      <c r="A20" s="131">
        <v>46120.0</v>
      </c>
      <c r="B20" s="132">
        <v>0.75</v>
      </c>
      <c r="C20" s="133" t="s">
        <v>548</v>
      </c>
      <c r="D20" s="133" t="s">
        <v>540</v>
      </c>
      <c r="E20" s="133" t="s">
        <v>549</v>
      </c>
    </row>
    <row r="21">
      <c r="A21" s="131">
        <v>46131.0</v>
      </c>
      <c r="B21" s="132">
        <v>0.5</v>
      </c>
      <c r="C21" s="133" t="s">
        <v>550</v>
      </c>
      <c r="D21" s="133" t="s">
        <v>551</v>
      </c>
      <c r="E21" s="133" t="s">
        <v>552</v>
      </c>
    </row>
    <row r="22">
      <c r="A22" s="123">
        <v>46134.0</v>
      </c>
      <c r="B22" s="134">
        <v>0.75</v>
      </c>
      <c r="C22" s="133" t="s">
        <v>548</v>
      </c>
      <c r="D22" s="133" t="s">
        <v>540</v>
      </c>
      <c r="E22" s="133" t="s">
        <v>549</v>
      </c>
    </row>
    <row r="23">
      <c r="A23" s="131">
        <v>46138.0</v>
      </c>
      <c r="B23" s="132">
        <v>0.5</v>
      </c>
      <c r="C23" s="135" t="s">
        <v>413</v>
      </c>
      <c r="D23" s="133" t="s">
        <v>535</v>
      </c>
      <c r="E23" s="133" t="s">
        <v>552</v>
      </c>
    </row>
    <row r="24">
      <c r="A24" s="128"/>
      <c r="B24" s="128"/>
      <c r="C24" s="128"/>
      <c r="D24" s="128"/>
      <c r="E24" s="128"/>
    </row>
    <row r="143">
      <c r="A143" s="110" t="s">
        <v>553</v>
      </c>
      <c r="B143" s="110"/>
      <c r="C143" s="110"/>
      <c r="D143" s="110"/>
      <c r="E143" s="110"/>
    </row>
    <row r="144">
      <c r="A144" s="112" t="s">
        <v>554</v>
      </c>
      <c r="B144" s="112" t="s">
        <v>521</v>
      </c>
      <c r="C144" s="112" t="s">
        <v>522</v>
      </c>
      <c r="D144" s="112" t="s">
        <v>523</v>
      </c>
      <c r="E144" s="112" t="s">
        <v>524</v>
      </c>
    </row>
    <row r="145">
      <c r="A145" s="113" t="s">
        <v>525</v>
      </c>
      <c r="B145" s="114">
        <v>0.5</v>
      </c>
      <c r="C145" s="115" t="s">
        <v>526</v>
      </c>
      <c r="D145" s="115" t="s">
        <v>527</v>
      </c>
      <c r="E145" s="115" t="s">
        <v>528</v>
      </c>
    </row>
    <row r="146">
      <c r="A146" s="116" t="s">
        <v>525</v>
      </c>
      <c r="B146" s="117">
        <v>0.5833333333333334</v>
      </c>
      <c r="C146" s="115" t="s">
        <v>529</v>
      </c>
      <c r="D146" s="118" t="s">
        <v>530</v>
      </c>
      <c r="E146" s="115" t="s">
        <v>528</v>
      </c>
    </row>
    <row r="147">
      <c r="A147" s="119" t="s">
        <v>531</v>
      </c>
      <c r="B147" s="120">
        <v>0.4166666666666667</v>
      </c>
      <c r="C147" s="119" t="s">
        <v>532</v>
      </c>
      <c r="D147" s="121" t="s">
        <v>533</v>
      </c>
      <c r="E147" s="122" t="s">
        <v>534</v>
      </c>
    </row>
    <row r="148">
      <c r="A148" s="123">
        <v>46116.0</v>
      </c>
      <c r="B148" s="124">
        <v>0.75</v>
      </c>
      <c r="C148" s="125" t="s">
        <v>408</v>
      </c>
      <c r="D148" s="125" t="s">
        <v>535</v>
      </c>
      <c r="E148" s="125" t="s">
        <v>536</v>
      </c>
    </row>
    <row r="149">
      <c r="A149" s="123">
        <v>46117.0</v>
      </c>
      <c r="B149" s="124">
        <v>0.75</v>
      </c>
      <c r="C149" s="125" t="s">
        <v>382</v>
      </c>
      <c r="D149" s="136"/>
      <c r="E149" s="136"/>
    </row>
    <row r="150">
      <c r="A150" s="123">
        <v>46124.0</v>
      </c>
      <c r="B150" s="124">
        <v>0.75</v>
      </c>
      <c r="C150" s="126" t="s">
        <v>410</v>
      </c>
      <c r="D150" s="126" t="s">
        <v>537</v>
      </c>
      <c r="E150" s="126" t="s">
        <v>538</v>
      </c>
    </row>
    <row r="151">
      <c r="A151" s="136"/>
      <c r="B151" s="136"/>
      <c r="C151" s="136"/>
      <c r="D151" s="136"/>
      <c r="E151" s="136"/>
    </row>
    <row r="152">
      <c r="A152" s="136"/>
      <c r="B152" s="136"/>
      <c r="C152" s="136"/>
      <c r="D152" s="136"/>
      <c r="E152" s="136"/>
    </row>
    <row r="153">
      <c r="A153" s="137"/>
      <c r="B153" s="137"/>
      <c r="C153" s="137"/>
      <c r="D153" s="137"/>
      <c r="E153" s="137"/>
    </row>
    <row r="154">
      <c r="A154" s="137"/>
      <c r="B154" s="137"/>
      <c r="C154" s="137"/>
      <c r="D154" s="137"/>
      <c r="E154" s="137"/>
    </row>
    <row r="155">
      <c r="A155" s="123">
        <v>46128.0</v>
      </c>
      <c r="B155" s="124">
        <v>0.75</v>
      </c>
      <c r="C155" s="125" t="s">
        <v>539</v>
      </c>
      <c r="D155" s="125" t="s">
        <v>540</v>
      </c>
      <c r="E155" s="125" t="s">
        <v>541</v>
      </c>
    </row>
    <row r="156">
      <c r="A156" s="123">
        <v>46134.0</v>
      </c>
      <c r="B156" s="124">
        <v>0.5</v>
      </c>
      <c r="C156" s="126" t="s">
        <v>411</v>
      </c>
      <c r="D156" s="126" t="s">
        <v>535</v>
      </c>
      <c r="E156" s="126" t="s">
        <v>536</v>
      </c>
    </row>
    <row r="157">
      <c r="A157" s="123">
        <v>46137.0</v>
      </c>
      <c r="B157" s="124">
        <v>0.5416666666666666</v>
      </c>
      <c r="C157" s="125" t="s">
        <v>371</v>
      </c>
      <c r="D157" s="125" t="s">
        <v>544</v>
      </c>
      <c r="E157" s="127" t="s">
        <v>545</v>
      </c>
    </row>
    <row r="158">
      <c r="A158" s="128"/>
      <c r="B158" s="128"/>
      <c r="C158" s="128"/>
      <c r="D158" s="128"/>
      <c r="E158" s="128"/>
    </row>
    <row r="159">
      <c r="A159" s="128"/>
      <c r="B159" s="128"/>
      <c r="C159" s="128"/>
      <c r="D159" s="128"/>
      <c r="E159" s="128"/>
    </row>
    <row r="160">
      <c r="A160" s="128"/>
      <c r="B160" s="128"/>
      <c r="C160" s="128"/>
      <c r="D160" s="128"/>
      <c r="E160" s="128"/>
    </row>
    <row r="161">
      <c r="A161" s="128"/>
      <c r="B161" s="128"/>
      <c r="C161" s="128"/>
      <c r="D161" s="128"/>
      <c r="E161" s="128"/>
    </row>
    <row r="162">
      <c r="A162" s="128"/>
      <c r="B162" s="128"/>
      <c r="C162" s="128"/>
      <c r="D162" s="128"/>
      <c r="E162" s="128"/>
    </row>
    <row r="164">
      <c r="A164" s="129" t="s">
        <v>555</v>
      </c>
      <c r="B164" s="129" t="s">
        <v>521</v>
      </c>
      <c r="C164" s="129" t="s">
        <v>522</v>
      </c>
      <c r="D164" s="129" t="s">
        <v>523</v>
      </c>
      <c r="E164" s="129" t="s">
        <v>524</v>
      </c>
    </row>
    <row r="165">
      <c r="A165" s="138"/>
      <c r="B165" s="139"/>
      <c r="C165" s="135" t="s">
        <v>413</v>
      </c>
      <c r="D165" s="133" t="s">
        <v>535</v>
      </c>
      <c r="E165" s="133" t="s">
        <v>552</v>
      </c>
    </row>
    <row r="166">
      <c r="A166" s="131">
        <v>46120.0</v>
      </c>
      <c r="B166" s="139"/>
      <c r="C166" s="133" t="s">
        <v>548</v>
      </c>
      <c r="D166" s="133" t="s">
        <v>540</v>
      </c>
      <c r="E166" s="133" t="s">
        <v>549</v>
      </c>
    </row>
    <row r="167">
      <c r="A167" s="138"/>
      <c r="B167" s="139"/>
      <c r="C167" s="133" t="s">
        <v>369</v>
      </c>
      <c r="D167" s="133" t="s">
        <v>556</v>
      </c>
      <c r="E167" s="133" t="s">
        <v>552</v>
      </c>
    </row>
    <row r="168">
      <c r="A168" s="123">
        <v>46134.0</v>
      </c>
      <c r="B168" s="128"/>
      <c r="C168" s="133" t="s">
        <v>548</v>
      </c>
      <c r="D168" s="133" t="s">
        <v>540</v>
      </c>
      <c r="E168" s="133" t="s">
        <v>549</v>
      </c>
    </row>
    <row r="169">
      <c r="A169" s="128"/>
      <c r="B169" s="128"/>
      <c r="C169" s="128"/>
      <c r="D169" s="128"/>
      <c r="E169" s="128"/>
    </row>
    <row r="170">
      <c r="A170" s="128"/>
      <c r="B170" s="128"/>
      <c r="C170" s="128"/>
      <c r="D170" s="128"/>
      <c r="E170" s="12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3.25"/>
    <col customWidth="1" min="3" max="3" width="42.38"/>
  </cols>
  <sheetData>
    <row r="1">
      <c r="A1" s="140" t="s">
        <v>209</v>
      </c>
      <c r="B1" s="141" t="s">
        <v>3</v>
      </c>
      <c r="C1" s="141" t="s">
        <v>557</v>
      </c>
      <c r="D1" s="142"/>
      <c r="E1" s="143" t="s">
        <v>369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</row>
    <row r="2">
      <c r="A2" s="59" t="s">
        <v>558</v>
      </c>
      <c r="B2" s="144">
        <v>9.153253634E9</v>
      </c>
      <c r="C2" s="144" t="s">
        <v>559</v>
      </c>
      <c r="D2" s="145" t="s">
        <v>560</v>
      </c>
      <c r="E2" s="145" t="s">
        <v>561</v>
      </c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</row>
    <row r="3">
      <c r="A3" s="59" t="s">
        <v>107</v>
      </c>
      <c r="B3" s="144">
        <v>7.9851759291E10</v>
      </c>
      <c r="C3" s="144" t="s">
        <v>559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</row>
    <row r="4">
      <c r="A4" s="59" t="s">
        <v>562</v>
      </c>
      <c r="B4" s="144">
        <v>7.9262789062E10</v>
      </c>
      <c r="C4" s="144" t="s">
        <v>563</v>
      </c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</row>
    <row r="5">
      <c r="A5" s="59" t="s">
        <v>501</v>
      </c>
      <c r="B5" s="144">
        <v>7.9154329181E10</v>
      </c>
      <c r="C5" s="144" t="s">
        <v>563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</row>
    <row r="6">
      <c r="A6" s="59" t="s">
        <v>564</v>
      </c>
      <c r="B6" s="144">
        <v>7.9154705117E10</v>
      </c>
      <c r="C6" s="144" t="s">
        <v>563</v>
      </c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</row>
    <row r="7">
      <c r="A7" s="144" t="s">
        <v>565</v>
      </c>
      <c r="B7" s="144">
        <v>9.161632244E9</v>
      </c>
      <c r="C7" s="144" t="s">
        <v>566</v>
      </c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</row>
    <row r="8">
      <c r="A8" s="144" t="s">
        <v>567</v>
      </c>
      <c r="B8" s="144">
        <v>7.9135229764E10</v>
      </c>
      <c r="C8" s="144" t="s">
        <v>568</v>
      </c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</row>
    <row r="9">
      <c r="A9" s="147"/>
      <c r="B9" s="147"/>
      <c r="C9" s="147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</row>
    <row r="10">
      <c r="A10" s="147"/>
      <c r="B10" s="147"/>
      <c r="C10" s="147"/>
      <c r="D10" s="146"/>
      <c r="E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</row>
    <row r="11">
      <c r="A11" s="147"/>
      <c r="B11" s="147"/>
      <c r="C11" s="147"/>
      <c r="D11" s="146"/>
      <c r="E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</row>
    <row r="12">
      <c r="A12" s="147"/>
      <c r="B12" s="147"/>
      <c r="C12" s="147"/>
      <c r="D12" s="146"/>
      <c r="E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</row>
    <row r="13">
      <c r="A13" s="147"/>
      <c r="B13" s="147"/>
      <c r="C13" s="147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</row>
    <row r="14">
      <c r="A14" s="147"/>
      <c r="B14" s="147"/>
      <c r="C14" s="147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</row>
    <row r="15">
      <c r="A15" s="147"/>
      <c r="B15" s="147"/>
      <c r="C15" s="147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</row>
    <row r="16">
      <c r="A16" s="146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</row>
    <row r="17">
      <c r="A17" s="146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</row>
    <row r="18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</row>
    <row r="19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</row>
    <row r="20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</row>
    <row r="21">
      <c r="A21" s="146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</row>
    <row r="22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</row>
    <row r="23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</row>
    <row r="24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</row>
    <row r="25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</row>
    <row r="26">
      <c r="A26" s="1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</row>
    <row r="27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</row>
    <row r="28">
      <c r="A28" s="146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</row>
    <row r="29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</row>
    <row r="30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</row>
    <row r="3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</row>
    <row r="32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</row>
    <row r="33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</row>
    <row r="34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</row>
    <row r="35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</row>
    <row r="36">
      <c r="A36" s="146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</row>
    <row r="37">
      <c r="A37" s="146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</row>
    <row r="38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</row>
    <row r="39">
      <c r="A39" s="146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</row>
    <row r="40">
      <c r="A40" s="146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</row>
    <row r="4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</row>
    <row r="42">
      <c r="A42" s="146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</row>
    <row r="43">
      <c r="A43" s="146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</row>
    <row r="44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</row>
    <row r="45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</row>
    <row r="46">
      <c r="A46" s="146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</row>
    <row r="47">
      <c r="A47" s="146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</row>
    <row r="48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</row>
    <row r="49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</row>
    <row r="50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</row>
    <row r="51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</row>
    <row r="52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</row>
    <row r="53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</row>
    <row r="54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</row>
    <row r="55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</row>
    <row r="56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</row>
    <row r="57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</row>
    <row r="58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</row>
    <row r="59">
      <c r="A59" s="146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</row>
    <row r="60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</row>
    <row r="61">
      <c r="A61" s="146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</row>
    <row r="62">
      <c r="A62" s="146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</row>
    <row r="63">
      <c r="A63" s="146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</row>
    <row r="64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</row>
    <row r="65">
      <c r="A65" s="146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</row>
    <row r="66">
      <c r="A66" s="146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</row>
    <row r="67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</row>
    <row r="68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</row>
    <row r="69">
      <c r="A69" s="146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</row>
    <row r="70">
      <c r="A70" s="146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</row>
    <row r="71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</row>
    <row r="72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</row>
    <row r="73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</row>
    <row r="74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</row>
    <row r="75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</row>
    <row r="76">
      <c r="A76" s="146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</row>
    <row r="77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</row>
    <row r="78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</row>
    <row r="79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</row>
    <row r="80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</row>
    <row r="81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</row>
    <row r="82">
      <c r="A82" s="146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</row>
    <row r="83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</row>
    <row r="84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</row>
    <row r="85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</row>
    <row r="86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</row>
    <row r="87">
      <c r="A87" s="146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</row>
    <row r="88">
      <c r="A88" s="146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</row>
    <row r="89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</row>
    <row r="90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</row>
    <row r="91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</row>
    <row r="92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</row>
    <row r="93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</row>
    <row r="94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</row>
    <row r="95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</row>
    <row r="96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</row>
    <row r="97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</row>
    <row r="98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</row>
    <row r="99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</row>
    <row r="100">
      <c r="A100" s="146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</row>
    <row r="101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</row>
    <row r="102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</row>
    <row r="103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</row>
    <row r="104">
      <c r="A104" s="146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</row>
    <row r="105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</row>
    <row r="106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</row>
    <row r="107">
      <c r="A107" s="146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</row>
    <row r="108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</row>
    <row r="109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</row>
    <row r="110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</row>
    <row r="111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</row>
    <row r="112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</row>
    <row r="113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</row>
    <row r="114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</row>
    <row r="115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</row>
    <row r="116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</row>
    <row r="117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</row>
    <row r="118">
      <c r="A118" s="146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</row>
    <row r="119">
      <c r="A119" s="146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</row>
    <row r="120">
      <c r="A120" s="146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</row>
    <row r="12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</row>
    <row r="122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</row>
    <row r="123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</row>
    <row r="124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</row>
    <row r="125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</row>
    <row r="126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</row>
    <row r="127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</row>
    <row r="128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</row>
    <row r="129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</row>
    <row r="130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</row>
    <row r="13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</row>
    <row r="132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</row>
    <row r="133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</row>
    <row r="134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</row>
    <row r="13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</row>
    <row r="136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</row>
    <row r="137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</row>
    <row r="138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</row>
    <row r="139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</row>
    <row r="140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</row>
    <row r="14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</row>
    <row r="142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</row>
    <row r="143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</row>
    <row r="144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</row>
    <row r="14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</row>
    <row r="146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</row>
    <row r="147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</row>
    <row r="148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</row>
    <row r="149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</row>
    <row r="150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</row>
    <row r="15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</row>
    <row r="152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</row>
    <row r="153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</row>
    <row r="154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</row>
    <row r="15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</row>
    <row r="156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</row>
    <row r="157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</row>
    <row r="158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</row>
    <row r="159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</row>
    <row r="160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</row>
    <row r="16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</row>
    <row r="162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</row>
    <row r="163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</row>
    <row r="164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</row>
    <row r="16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</row>
    <row r="166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</row>
    <row r="167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</row>
    <row r="168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</row>
    <row r="169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</row>
    <row r="170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</row>
    <row r="17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</row>
    <row r="17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</row>
    <row r="173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</row>
    <row r="174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</row>
    <row r="17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</row>
    <row r="176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</row>
    <row r="177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</row>
    <row r="178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</row>
    <row r="179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</row>
    <row r="180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</row>
    <row r="181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</row>
    <row r="18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</row>
    <row r="183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</row>
    <row r="184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</row>
    <row r="18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</row>
    <row r="186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</row>
    <row r="187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</row>
    <row r="188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</row>
    <row r="189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</row>
    <row r="190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</row>
    <row r="191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</row>
    <row r="192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</row>
    <row r="193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</row>
    <row r="194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</row>
    <row r="19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</row>
    <row r="196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</row>
    <row r="197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</row>
    <row r="198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</row>
    <row r="199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</row>
    <row r="200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</row>
    <row r="201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</row>
    <row r="202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</row>
    <row r="203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</row>
    <row r="204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</row>
    <row r="20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</row>
    <row r="206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</row>
    <row r="207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</row>
    <row r="208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</row>
    <row r="209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</row>
    <row r="210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</row>
    <row r="211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</row>
    <row r="212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</row>
    <row r="213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</row>
    <row r="214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</row>
    <row r="21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</row>
    <row r="216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</row>
    <row r="217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</row>
    <row r="218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</row>
    <row r="219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</row>
    <row r="220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</row>
    <row r="221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</row>
    <row r="222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</row>
    <row r="223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</row>
    <row r="224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</row>
    <row r="2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</row>
    <row r="226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</row>
    <row r="227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</row>
    <row r="228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</row>
    <row r="229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</row>
    <row r="230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</row>
    <row r="231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</row>
    <row r="232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</row>
    <row r="233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</row>
    <row r="234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</row>
    <row r="23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</row>
    <row r="236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</row>
    <row r="237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</row>
    <row r="238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</row>
    <row r="239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</row>
    <row r="240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</row>
    <row r="241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</row>
    <row r="24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</row>
    <row r="243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</row>
    <row r="244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</row>
    <row r="24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</row>
    <row r="246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</row>
    <row r="247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</row>
    <row r="248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</row>
    <row r="249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</row>
    <row r="250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</row>
    <row r="251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</row>
    <row r="252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</row>
    <row r="253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</row>
    <row r="254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</row>
    <row r="25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</row>
    <row r="256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</row>
    <row r="257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</row>
    <row r="258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</row>
    <row r="259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</row>
    <row r="260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</row>
    <row r="26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</row>
    <row r="26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</row>
    <row r="263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</row>
    <row r="264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</row>
    <row r="26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</row>
    <row r="266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</row>
    <row r="267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</row>
    <row r="268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</row>
    <row r="269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</row>
    <row r="270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</row>
    <row r="271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</row>
    <row r="272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</row>
    <row r="273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</row>
    <row r="274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</row>
    <row r="27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</row>
    <row r="276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</row>
    <row r="277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</row>
    <row r="278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</row>
    <row r="279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</row>
    <row r="280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</row>
    <row r="281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</row>
    <row r="28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</row>
    <row r="283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</row>
    <row r="284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</row>
    <row r="28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</row>
    <row r="286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</row>
    <row r="287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</row>
    <row r="288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</row>
    <row r="289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</row>
    <row r="290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</row>
    <row r="291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</row>
    <row r="292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</row>
    <row r="293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</row>
    <row r="294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</row>
    <row r="29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</row>
    <row r="296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</row>
    <row r="297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</row>
    <row r="298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</row>
    <row r="299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</row>
    <row r="300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</row>
    <row r="301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</row>
    <row r="302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</row>
    <row r="303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</row>
    <row r="304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</row>
    <row r="30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</row>
    <row r="306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</row>
    <row r="307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</row>
    <row r="308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</row>
    <row r="309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</row>
    <row r="310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</row>
    <row r="311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</row>
    <row r="312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</row>
    <row r="313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</row>
    <row r="314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</row>
    <row r="31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</row>
    <row r="316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</row>
    <row r="317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</row>
    <row r="318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</row>
    <row r="319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</row>
    <row r="320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</row>
    <row r="321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</row>
    <row r="32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</row>
    <row r="323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</row>
    <row r="324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</row>
    <row r="3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</row>
    <row r="326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</row>
    <row r="327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</row>
    <row r="328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</row>
    <row r="329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</row>
    <row r="330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</row>
    <row r="331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</row>
    <row r="33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</row>
    <row r="333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</row>
    <row r="334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</row>
    <row r="33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</row>
    <row r="336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</row>
    <row r="337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</row>
    <row r="338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</row>
    <row r="339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</row>
    <row r="340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</row>
    <row r="341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</row>
    <row r="342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</row>
    <row r="343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</row>
    <row r="344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</row>
    <row r="34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</row>
    <row r="346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</row>
    <row r="347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</row>
    <row r="348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</row>
    <row r="349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</row>
    <row r="350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</row>
    <row r="351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</row>
    <row r="35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</row>
    <row r="353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</row>
    <row r="354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</row>
    <row r="35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</row>
    <row r="356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</row>
    <row r="357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</row>
    <row r="358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</row>
    <row r="359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</row>
    <row r="360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</row>
    <row r="36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</row>
    <row r="362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</row>
    <row r="363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</row>
    <row r="364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</row>
    <row r="36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</row>
    <row r="366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</row>
    <row r="367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</row>
    <row r="368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</row>
    <row r="369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</row>
    <row r="370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</row>
    <row r="371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</row>
    <row r="372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</row>
    <row r="373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</row>
    <row r="374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</row>
    <row r="37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</row>
    <row r="376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</row>
    <row r="377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</row>
    <row r="378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</row>
    <row r="379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</row>
    <row r="380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</row>
    <row r="381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</row>
    <row r="38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</row>
    <row r="383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</row>
    <row r="384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</row>
    <row r="38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</row>
    <row r="386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</row>
    <row r="387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</row>
    <row r="388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</row>
    <row r="389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</row>
    <row r="390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</row>
    <row r="391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</row>
    <row r="392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</row>
    <row r="393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</row>
    <row r="394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</row>
    <row r="39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</row>
    <row r="396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</row>
    <row r="397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</row>
    <row r="398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</row>
    <row r="399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</row>
    <row r="400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</row>
    <row r="401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</row>
    <row r="402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</row>
    <row r="403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</row>
    <row r="404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</row>
    <row r="40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</row>
    <row r="406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</row>
    <row r="407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</row>
    <row r="408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</row>
    <row r="409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</row>
    <row r="410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</row>
    <row r="411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</row>
    <row r="412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</row>
    <row r="413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</row>
    <row r="414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</row>
    <row r="41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</row>
    <row r="416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</row>
    <row r="417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</row>
    <row r="418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</row>
    <row r="419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</row>
    <row r="420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</row>
    <row r="421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</row>
    <row r="422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</row>
    <row r="423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</row>
    <row r="424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</row>
    <row r="4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</row>
    <row r="426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</row>
    <row r="427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</row>
    <row r="428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</row>
    <row r="429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</row>
    <row r="430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</row>
    <row r="431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</row>
    <row r="432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</row>
    <row r="433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</row>
    <row r="434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</row>
    <row r="43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</row>
    <row r="436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</row>
    <row r="437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</row>
    <row r="438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</row>
    <row r="439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</row>
    <row r="440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</row>
    <row r="441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</row>
    <row r="44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</row>
    <row r="443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</row>
    <row r="444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</row>
    <row r="44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</row>
    <row r="446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</row>
    <row r="447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</row>
    <row r="448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</row>
    <row r="449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</row>
    <row r="450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</row>
    <row r="451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</row>
    <row r="452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</row>
    <row r="453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</row>
    <row r="454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</row>
    <row r="45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</row>
    <row r="456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</row>
    <row r="457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</row>
    <row r="458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</row>
    <row r="459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</row>
    <row r="460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</row>
    <row r="461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</row>
    <row r="462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</row>
    <row r="463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</row>
    <row r="464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</row>
    <row r="46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</row>
    <row r="466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</row>
    <row r="467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</row>
    <row r="468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</row>
    <row r="469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</row>
    <row r="470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</row>
    <row r="471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</row>
    <row r="472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</row>
    <row r="473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</row>
    <row r="474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</row>
    <row r="47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</row>
    <row r="476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</row>
    <row r="477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</row>
    <row r="478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</row>
    <row r="479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</row>
    <row r="480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</row>
    <row r="481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</row>
    <row r="48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</row>
    <row r="483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</row>
    <row r="484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</row>
    <row r="48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</row>
    <row r="486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</row>
    <row r="487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</row>
    <row r="488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</row>
    <row r="489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</row>
    <row r="490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</row>
    <row r="491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</row>
    <row r="492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</row>
    <row r="493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</row>
    <row r="494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</row>
    <row r="49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</row>
    <row r="496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</row>
    <row r="497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</row>
    <row r="498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</row>
    <row r="499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</row>
    <row r="500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</row>
    <row r="501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</row>
    <row r="502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</row>
    <row r="503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</row>
    <row r="504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</row>
    <row r="50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</row>
    <row r="506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</row>
    <row r="507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</row>
    <row r="508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</row>
    <row r="509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</row>
    <row r="510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</row>
    <row r="511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</row>
    <row r="512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</row>
    <row r="513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</row>
    <row r="514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</row>
    <row r="51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</row>
    <row r="516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</row>
    <row r="517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</row>
    <row r="518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</row>
    <row r="519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</row>
    <row r="520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</row>
    <row r="521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</row>
    <row r="522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</row>
    <row r="523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</row>
    <row r="524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</row>
    <row r="5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</row>
    <row r="526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</row>
    <row r="527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</row>
    <row r="528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</row>
    <row r="529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</row>
    <row r="530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</row>
    <row r="531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</row>
    <row r="532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</row>
    <row r="533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</row>
    <row r="534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</row>
    <row r="53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</row>
    <row r="536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</row>
    <row r="537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</row>
    <row r="538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</row>
    <row r="539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</row>
    <row r="540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</row>
    <row r="541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</row>
    <row r="542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</row>
    <row r="543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</row>
    <row r="544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</row>
    <row r="54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</row>
    <row r="546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</row>
    <row r="547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</row>
    <row r="548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</row>
    <row r="549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</row>
    <row r="550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</row>
    <row r="551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</row>
    <row r="552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</row>
    <row r="553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</row>
    <row r="554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</row>
    <row r="55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</row>
    <row r="556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</row>
    <row r="557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</row>
    <row r="558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</row>
    <row r="559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</row>
    <row r="560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</row>
    <row r="561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</row>
    <row r="562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</row>
    <row r="563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</row>
    <row r="564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</row>
    <row r="56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</row>
    <row r="566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</row>
    <row r="567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</row>
    <row r="568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</row>
    <row r="569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</row>
    <row r="570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</row>
    <row r="57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</row>
    <row r="572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</row>
    <row r="573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</row>
    <row r="574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</row>
    <row r="57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</row>
    <row r="576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</row>
    <row r="577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</row>
    <row r="578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</row>
    <row r="579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</row>
    <row r="580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</row>
    <row r="581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</row>
    <row r="582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</row>
    <row r="583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</row>
    <row r="584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</row>
    <row r="58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</row>
    <row r="586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</row>
    <row r="587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</row>
    <row r="588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</row>
    <row r="589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</row>
    <row r="590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</row>
    <row r="591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</row>
    <row r="592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</row>
    <row r="593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</row>
    <row r="594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</row>
    <row r="59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</row>
    <row r="596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</row>
    <row r="597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</row>
    <row r="598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</row>
    <row r="599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</row>
    <row r="600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</row>
    <row r="601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</row>
    <row r="602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</row>
    <row r="603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</row>
    <row r="604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</row>
    <row r="60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</row>
    <row r="606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</row>
    <row r="607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</row>
    <row r="608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</row>
    <row r="609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</row>
    <row r="610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</row>
    <row r="611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</row>
    <row r="612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</row>
    <row r="613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</row>
    <row r="614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</row>
    <row r="61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</row>
    <row r="616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</row>
    <row r="617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</row>
    <row r="618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</row>
    <row r="619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</row>
    <row r="620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</row>
    <row r="62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</row>
    <row r="622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</row>
    <row r="623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</row>
    <row r="624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</row>
    <row r="6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</row>
    <row r="626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</row>
    <row r="627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</row>
    <row r="628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</row>
    <row r="629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</row>
    <row r="630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</row>
    <row r="631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</row>
    <row r="632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</row>
    <row r="633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</row>
    <row r="634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</row>
    <row r="63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</row>
    <row r="636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</row>
    <row r="637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</row>
    <row r="638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</row>
    <row r="639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</row>
    <row r="640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</row>
    <row r="641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</row>
    <row r="642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</row>
    <row r="643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</row>
    <row r="644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</row>
    <row r="64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</row>
    <row r="646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</row>
    <row r="647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</row>
    <row r="648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</row>
    <row r="649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</row>
    <row r="650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</row>
    <row r="651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</row>
    <row r="652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</row>
    <row r="653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</row>
    <row r="654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</row>
    <row r="65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</row>
    <row r="656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</row>
    <row r="657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</row>
    <row r="658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</row>
    <row r="659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</row>
    <row r="660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</row>
    <row r="661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</row>
    <row r="662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</row>
    <row r="663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</row>
    <row r="664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</row>
    <row r="66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</row>
    <row r="666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</row>
    <row r="667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</row>
    <row r="668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</row>
    <row r="669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</row>
    <row r="670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</row>
    <row r="671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</row>
    <row r="672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</row>
    <row r="673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</row>
    <row r="674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</row>
    <row r="67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</row>
    <row r="676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</row>
    <row r="677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</row>
    <row r="678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</row>
    <row r="679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</row>
    <row r="680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</row>
    <row r="681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</row>
    <row r="682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</row>
    <row r="683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</row>
    <row r="684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</row>
    <row r="68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</row>
    <row r="686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</row>
    <row r="687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</row>
    <row r="688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</row>
    <row r="689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</row>
    <row r="690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</row>
    <row r="691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</row>
    <row r="692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</row>
    <row r="693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</row>
    <row r="694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</row>
    <row r="69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</row>
    <row r="696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</row>
    <row r="697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</row>
    <row r="698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</row>
    <row r="699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</row>
    <row r="700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</row>
    <row r="701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</row>
    <row r="702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</row>
    <row r="703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</row>
    <row r="704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</row>
    <row r="70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</row>
    <row r="706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</row>
    <row r="707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</row>
    <row r="708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</row>
    <row r="709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</row>
    <row r="710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</row>
    <row r="71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</row>
    <row r="712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</row>
    <row r="713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</row>
    <row r="714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</row>
    <row r="71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</row>
    <row r="716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</row>
    <row r="717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</row>
    <row r="718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</row>
    <row r="719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</row>
    <row r="720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</row>
    <row r="721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</row>
    <row r="722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</row>
    <row r="723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</row>
    <row r="724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</row>
    <row r="7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</row>
    <row r="726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</row>
    <row r="727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</row>
    <row r="728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</row>
    <row r="729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</row>
    <row r="730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</row>
    <row r="73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</row>
    <row r="732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</row>
    <row r="733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</row>
    <row r="734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</row>
    <row r="73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</row>
    <row r="736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</row>
    <row r="737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</row>
    <row r="738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</row>
    <row r="739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</row>
    <row r="740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</row>
    <row r="74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</row>
    <row r="742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</row>
    <row r="743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</row>
    <row r="744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</row>
    <row r="74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</row>
    <row r="746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</row>
    <row r="747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</row>
    <row r="748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</row>
    <row r="749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</row>
    <row r="750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</row>
    <row r="751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</row>
    <row r="752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</row>
    <row r="753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</row>
    <row r="754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</row>
    <row r="75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</row>
    <row r="756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</row>
    <row r="757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</row>
    <row r="758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</row>
    <row r="759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</row>
    <row r="760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</row>
    <row r="761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</row>
    <row r="762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</row>
    <row r="763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</row>
    <row r="764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</row>
    <row r="76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</row>
    <row r="766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</row>
    <row r="767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</row>
    <row r="768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</row>
    <row r="769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</row>
    <row r="770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</row>
    <row r="771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</row>
    <row r="772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</row>
    <row r="773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</row>
    <row r="774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</row>
    <row r="77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</row>
    <row r="776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</row>
    <row r="777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</row>
    <row r="778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</row>
    <row r="779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</row>
    <row r="780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</row>
    <row r="781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</row>
    <row r="782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</row>
    <row r="783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</row>
    <row r="784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</row>
    <row r="78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</row>
    <row r="786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</row>
    <row r="787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</row>
    <row r="788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</row>
    <row r="789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</row>
    <row r="790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</row>
    <row r="791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</row>
    <row r="792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</row>
    <row r="793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</row>
    <row r="794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</row>
    <row r="79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</row>
    <row r="796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</row>
    <row r="797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</row>
    <row r="798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</row>
    <row r="799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</row>
    <row r="800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</row>
    <row r="801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</row>
    <row r="802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</row>
    <row r="803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</row>
    <row r="804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</row>
    <row r="80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</row>
    <row r="806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</row>
    <row r="807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</row>
    <row r="808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</row>
    <row r="809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</row>
    <row r="810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</row>
    <row r="811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</row>
    <row r="812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</row>
    <row r="813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</row>
    <row r="814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</row>
    <row r="81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</row>
    <row r="816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</row>
    <row r="817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</row>
    <row r="818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</row>
    <row r="819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</row>
    <row r="820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</row>
    <row r="821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</row>
    <row r="822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</row>
    <row r="823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</row>
    <row r="824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</row>
    <row r="8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</row>
    <row r="826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</row>
    <row r="827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</row>
    <row r="828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</row>
    <row r="829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</row>
    <row r="830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</row>
    <row r="831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</row>
    <row r="832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</row>
    <row r="833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</row>
    <row r="834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</row>
    <row r="83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</row>
    <row r="836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</row>
    <row r="837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</row>
    <row r="838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</row>
    <row r="839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</row>
    <row r="840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</row>
    <row r="841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</row>
    <row r="842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</row>
    <row r="843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</row>
    <row r="844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</row>
    <row r="84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</row>
    <row r="846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</row>
    <row r="847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</row>
    <row r="848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</row>
    <row r="849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</row>
    <row r="850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</row>
    <row r="851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</row>
    <row r="852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</row>
    <row r="853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</row>
    <row r="854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</row>
    <row r="85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</row>
    <row r="856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</row>
    <row r="857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</row>
    <row r="858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</row>
    <row r="859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</row>
    <row r="860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</row>
    <row r="861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</row>
    <row r="862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</row>
    <row r="863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</row>
    <row r="864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</row>
    <row r="86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</row>
    <row r="866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</row>
    <row r="867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</row>
    <row r="868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</row>
    <row r="869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</row>
    <row r="870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</row>
    <row r="871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</row>
    <row r="872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</row>
    <row r="873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</row>
    <row r="874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</row>
    <row r="87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</row>
    <row r="876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</row>
    <row r="877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</row>
    <row r="878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</row>
    <row r="879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</row>
    <row r="880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</row>
    <row r="881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</row>
    <row r="882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</row>
    <row r="883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</row>
    <row r="884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</row>
    <row r="88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</row>
    <row r="886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</row>
    <row r="887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</row>
    <row r="888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</row>
    <row r="889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</row>
    <row r="890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</row>
    <row r="891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</row>
    <row r="892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</row>
    <row r="893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</row>
    <row r="894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</row>
    <row r="89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</row>
    <row r="896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</row>
    <row r="897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</row>
    <row r="898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</row>
    <row r="899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</row>
    <row r="900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</row>
    <row r="901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</row>
    <row r="902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</row>
    <row r="903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</row>
    <row r="904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</row>
    <row r="90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</row>
    <row r="906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</row>
    <row r="907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</row>
    <row r="908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</row>
    <row r="909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</row>
    <row r="910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</row>
    <row r="911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</row>
    <row r="912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</row>
    <row r="913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</row>
    <row r="914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</row>
    <row r="91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</row>
    <row r="916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</row>
    <row r="917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</row>
    <row r="918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</row>
    <row r="919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</row>
    <row r="920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</row>
    <row r="921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</row>
    <row r="922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</row>
    <row r="923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</row>
    <row r="924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</row>
    <row r="9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</row>
    <row r="926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</row>
    <row r="927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</row>
    <row r="928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</row>
    <row r="929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</row>
    <row r="930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</row>
    <row r="931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</row>
    <row r="932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</row>
    <row r="933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</row>
    <row r="934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</row>
    <row r="93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</row>
    <row r="936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</row>
    <row r="937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</row>
    <row r="938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</row>
    <row r="939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</row>
    <row r="940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</row>
    <row r="941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</row>
    <row r="942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</row>
    <row r="943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</row>
    <row r="944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</row>
    <row r="94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</row>
    <row r="946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</row>
    <row r="947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</row>
    <row r="948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</row>
    <row r="949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</row>
    <row r="950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</row>
    <row r="951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</row>
    <row r="952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</row>
    <row r="953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</row>
    <row r="954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</row>
    <row r="95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</row>
    <row r="956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</row>
    <row r="957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</row>
    <row r="958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</row>
    <row r="959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</row>
    <row r="960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</row>
    <row r="961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</row>
    <row r="962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</row>
    <row r="963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</row>
    <row r="964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</row>
    <row r="96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</row>
    <row r="966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</row>
    <row r="967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</row>
    <row r="968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</row>
    <row r="969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</row>
    <row r="970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</row>
    <row r="971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</row>
    <row r="972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</row>
    <row r="973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</row>
    <row r="974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</row>
    <row r="975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</row>
    <row r="976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</row>
    <row r="977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</row>
    <row r="978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</row>
    <row r="979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</row>
    <row r="980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</row>
    <row r="981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</row>
    <row r="982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</row>
    <row r="983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</row>
    <row r="984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</row>
    <row r="985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</row>
    <row r="986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</row>
    <row r="987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</row>
    <row r="988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</row>
    <row r="989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</row>
    <row r="990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</row>
    <row r="991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</row>
    <row r="992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</row>
    <row r="993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</row>
    <row r="994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</row>
    <row r="995">
      <c r="A995" s="146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</row>
    <row r="996">
      <c r="A996" s="146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</row>
    <row r="997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</row>
    <row r="998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</row>
    <row r="999">
      <c r="A999" s="146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</row>
    <row r="1000">
      <c r="A1000" s="146"/>
      <c r="B1000" s="146"/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7.88"/>
    <col customWidth="1" min="3" max="3" width="39.88"/>
  </cols>
  <sheetData>
    <row r="1" ht="22.5" customHeight="1">
      <c r="A1" s="148" t="s">
        <v>569</v>
      </c>
      <c r="B1" s="141" t="s">
        <v>570</v>
      </c>
      <c r="C1" s="141" t="s">
        <v>571</v>
      </c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ht="22.5" customHeight="1">
      <c r="A2" s="149">
        <v>1.0</v>
      </c>
      <c r="B2" s="150" t="s">
        <v>572</v>
      </c>
      <c r="C2" s="151" t="s">
        <v>573</v>
      </c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 ht="22.5" customHeight="1">
      <c r="A3" s="149">
        <v>2.0</v>
      </c>
      <c r="B3" s="150" t="s">
        <v>574</v>
      </c>
      <c r="C3" s="151" t="s">
        <v>575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 ht="22.5" customHeight="1">
      <c r="A4" s="149">
        <v>3.0</v>
      </c>
      <c r="B4" s="150" t="s">
        <v>576</v>
      </c>
      <c r="C4" s="151" t="s">
        <v>577</v>
      </c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 ht="22.5" customHeight="1">
      <c r="A5" s="149">
        <v>4.0</v>
      </c>
      <c r="B5" s="150" t="s">
        <v>578</v>
      </c>
      <c r="C5" s="152" t="s">
        <v>579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 ht="22.5" customHeight="1">
      <c r="A6" s="128"/>
      <c r="B6" s="128"/>
      <c r="C6" s="128"/>
    </row>
    <row r="7" ht="22.5" customHeight="1">
      <c r="A7" s="128"/>
      <c r="B7" s="128"/>
      <c r="C7" s="128"/>
    </row>
    <row r="8" ht="22.5" customHeight="1">
      <c r="A8" s="128"/>
      <c r="B8" s="128"/>
      <c r="C8" s="128"/>
    </row>
    <row r="9" ht="22.5" customHeight="1">
      <c r="A9" s="128"/>
      <c r="B9" s="128"/>
      <c r="C9" s="128"/>
    </row>
    <row r="10" ht="22.5" customHeight="1">
      <c r="A10" s="128"/>
      <c r="B10" s="128"/>
      <c r="C10" s="128"/>
    </row>
    <row r="11" ht="22.5" customHeight="1">
      <c r="A11" s="128"/>
      <c r="B11" s="128"/>
      <c r="C11" s="128"/>
    </row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</sheetData>
  <hyperlinks>
    <hyperlink r:id="rId1" ref="C2"/>
    <hyperlink r:id="rId2" ref="C3"/>
    <hyperlink r:id="rId3" ref="C4"/>
    <hyperlink r:id="rId4" ref="C5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580</v>
      </c>
    </row>
    <row r="3">
      <c r="A3" s="11" t="s">
        <v>581</v>
      </c>
    </row>
    <row r="4">
      <c r="A4" s="11" t="s">
        <v>582</v>
      </c>
    </row>
    <row r="5">
      <c r="A5" s="11" t="s">
        <v>583</v>
      </c>
    </row>
    <row r="6">
      <c r="A6" s="11" t="s">
        <v>584</v>
      </c>
    </row>
    <row r="8">
      <c r="A8" s="11" t="s">
        <v>585</v>
      </c>
    </row>
    <row r="10">
      <c r="A10" s="11" t="s">
        <v>586</v>
      </c>
    </row>
    <row r="12">
      <c r="A12" s="11" t="s">
        <v>587</v>
      </c>
    </row>
    <row r="14">
      <c r="A14" s="11" t="s">
        <v>588</v>
      </c>
    </row>
    <row r="16">
      <c r="A16" s="11" t="s">
        <v>589</v>
      </c>
    </row>
    <row r="17">
      <c r="A17" s="11" t="s">
        <v>590</v>
      </c>
    </row>
    <row r="19">
      <c r="A19" s="11" t="s">
        <v>591</v>
      </c>
    </row>
    <row r="21">
      <c r="A21" s="11" t="s">
        <v>592</v>
      </c>
    </row>
    <row r="23">
      <c r="A23" s="11" t="s">
        <v>593</v>
      </c>
    </row>
    <row r="25">
      <c r="A25" s="11" t="s">
        <v>594</v>
      </c>
    </row>
    <row r="27">
      <c r="A27" s="11" t="s">
        <v>586</v>
      </c>
    </row>
    <row r="29">
      <c r="A29" s="11" t="s">
        <v>595</v>
      </c>
    </row>
    <row r="31">
      <c r="A31" s="11" t="s">
        <v>596</v>
      </c>
    </row>
    <row r="33">
      <c r="A33" s="11" t="s">
        <v>597</v>
      </c>
    </row>
    <row r="35">
      <c r="A35" s="11" t="s">
        <v>598</v>
      </c>
    </row>
    <row r="37">
      <c r="A37" s="11" t="s">
        <v>586</v>
      </c>
    </row>
    <row r="39">
      <c r="A39" s="11" t="s">
        <v>599</v>
      </c>
    </row>
    <row r="41">
      <c r="A41" s="11" t="s">
        <v>600</v>
      </c>
    </row>
    <row r="43">
      <c r="A43" s="11" t="s">
        <v>601</v>
      </c>
    </row>
    <row r="45">
      <c r="A45" s="153" t="s">
        <v>602</v>
      </c>
    </row>
    <row r="46">
      <c r="A46" s="154" t="s">
        <v>603</v>
      </c>
    </row>
    <row r="47">
      <c r="A47" s="155" t="s">
        <v>604</v>
      </c>
    </row>
    <row r="50">
      <c r="A50" s="11" t="s">
        <v>586</v>
      </c>
    </row>
    <row r="52">
      <c r="A52" s="11" t="s">
        <v>605</v>
      </c>
    </row>
    <row r="54">
      <c r="A54" s="11" t="s">
        <v>601</v>
      </c>
    </row>
    <row r="56">
      <c r="A56" s="11" t="s">
        <v>606</v>
      </c>
    </row>
    <row r="58">
      <c r="A58" s="11" t="s">
        <v>586</v>
      </c>
    </row>
    <row r="60">
      <c r="A60" s="11" t="s">
        <v>607</v>
      </c>
    </row>
    <row r="62">
      <c r="A62" s="11" t="s">
        <v>608</v>
      </c>
    </row>
    <row r="64">
      <c r="A64" s="11" t="s">
        <v>609</v>
      </c>
    </row>
    <row r="66">
      <c r="A66" s="11" t="s">
        <v>610</v>
      </c>
    </row>
    <row r="67">
      <c r="A67" s="11" t="s">
        <v>611</v>
      </c>
    </row>
    <row r="68">
      <c r="A68" s="11" t="s">
        <v>612</v>
      </c>
    </row>
    <row r="72">
      <c r="A72" s="11" t="s">
        <v>586</v>
      </c>
    </row>
    <row r="74">
      <c r="A74" s="11" t="s">
        <v>613</v>
      </c>
    </row>
    <row r="76">
      <c r="A76" s="11" t="s">
        <v>614</v>
      </c>
    </row>
    <row r="78">
      <c r="A78" s="11" t="s">
        <v>615</v>
      </c>
    </row>
    <row r="79">
      <c r="A79" s="11" t="s">
        <v>616</v>
      </c>
    </row>
  </sheetData>
  <hyperlinks>
    <hyperlink r:id="rId1" ref="A46"/>
  </hyperlinks>
  <drawing r:id="rId2"/>
</worksheet>
</file>